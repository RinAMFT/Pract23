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5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6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7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DELL\Documents\информатика\"/>
    </mc:Choice>
  </mc:AlternateContent>
  <xr:revisionPtr revIDLastSave="0" documentId="8_{1A50A625-1D67-445F-986A-6943B955A3C6}" xr6:coauthVersionLast="47" xr6:coauthVersionMax="47" xr10:uidLastSave="{00000000-0000-0000-0000-000000000000}"/>
  <bookViews>
    <workbookView xWindow="-120" yWindow="-120" windowWidth="29040" windowHeight="15840" activeTab="6" xr2:uid="{2381AB70-6D70-4896-AFA5-A147B0F38C64}"/>
  </bookViews>
  <sheets>
    <sheet name="Задание1" sheetId="1" r:id="rId1"/>
    <sheet name="Задание2" sheetId="2" r:id="rId2"/>
    <sheet name="Задание3" sheetId="3" r:id="rId3"/>
    <sheet name="Задание4" sheetId="4" r:id="rId4"/>
    <sheet name="Задание5" sheetId="5" r:id="rId5"/>
    <sheet name="Задание6" sheetId="6" r:id="rId6"/>
    <sheet name="Задание7" sheetId="7" r:id="rId7"/>
  </sheets>
  <externalReferences>
    <externalReference r:id="rId8"/>
  </externalReferenc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" i="6" l="1"/>
  <c r="E4" i="6"/>
  <c r="E5" i="6" s="1"/>
  <c r="B10" i="1"/>
</calcChain>
</file>

<file path=xl/sharedStrings.xml><?xml version="1.0" encoding="utf-8"?>
<sst xmlns="http://schemas.openxmlformats.org/spreadsheetml/2006/main" count="108" uniqueCount="106">
  <si>
    <t>Список продуктов</t>
  </si>
  <si>
    <t>Продукты</t>
  </si>
  <si>
    <t>Хлеб</t>
  </si>
  <si>
    <t>Макароны</t>
  </si>
  <si>
    <t>Сумма</t>
  </si>
  <si>
    <t>Овсянка</t>
  </si>
  <si>
    <t xml:space="preserve">Торт </t>
  </si>
  <si>
    <t>Мясо</t>
  </si>
  <si>
    <t>Итого:</t>
  </si>
  <si>
    <t>Гречка</t>
  </si>
  <si>
    <t>Андрей</t>
  </si>
  <si>
    <t>Илья</t>
  </si>
  <si>
    <t>Сергей</t>
  </si>
  <si>
    <t>Пн</t>
  </si>
  <si>
    <t>Вт</t>
  </si>
  <si>
    <t>Ср</t>
  </si>
  <si>
    <t>Чт</t>
  </si>
  <si>
    <t>Пт</t>
  </si>
  <si>
    <t>Сб</t>
  </si>
  <si>
    <t>Вс</t>
  </si>
  <si>
    <t>Молоко</t>
  </si>
  <si>
    <t>Жизненные ценности</t>
  </si>
  <si>
    <t>Распределение по приоритету</t>
  </si>
  <si>
    <t>Здоровье</t>
  </si>
  <si>
    <t>Красота</t>
  </si>
  <si>
    <t>Деньги</t>
  </si>
  <si>
    <t>Любовь</t>
  </si>
  <si>
    <t>Сила</t>
  </si>
  <si>
    <t>Добро</t>
  </si>
  <si>
    <t>Труд</t>
  </si>
  <si>
    <t>Процентное содержание</t>
  </si>
  <si>
    <t>Сливки</t>
  </si>
  <si>
    <t>Творог</t>
  </si>
  <si>
    <t xml:space="preserve">Сметана </t>
  </si>
  <si>
    <t>Йогурт</t>
  </si>
  <si>
    <t>Количество детей в семье</t>
  </si>
  <si>
    <t>Частота</t>
  </si>
  <si>
    <t>Рост</t>
  </si>
  <si>
    <t>Количество</t>
  </si>
  <si>
    <t>155-160</t>
  </si>
  <si>
    <t>160-165</t>
  </si>
  <si>
    <t>165-170</t>
  </si>
  <si>
    <t>170-175</t>
  </si>
  <si>
    <t>175-180</t>
  </si>
  <si>
    <t>185-190</t>
  </si>
  <si>
    <t>190-195</t>
  </si>
  <si>
    <t>180-185</t>
  </si>
  <si>
    <t>Месяц</t>
  </si>
  <si>
    <t>Температура</t>
  </si>
  <si>
    <t>Факторы</t>
  </si>
  <si>
    <t>Процент</t>
  </si>
  <si>
    <t>Наследственность</t>
  </si>
  <si>
    <t>Экологическая обстановка</t>
  </si>
  <si>
    <t>Здравоохранение</t>
  </si>
  <si>
    <t xml:space="preserve"> Образ жизни</t>
  </si>
  <si>
    <t>Годы</t>
  </si>
  <si>
    <t>Количество учащихся</t>
  </si>
  <si>
    <t>Устройство</t>
  </si>
  <si>
    <t>Доля</t>
  </si>
  <si>
    <t>Клавиатура</t>
  </si>
  <si>
    <t>Монитор</t>
  </si>
  <si>
    <t>Жесткий диск</t>
  </si>
  <si>
    <t>Оперативная память</t>
  </si>
  <si>
    <t>Процессор</t>
  </si>
  <si>
    <t>Системная плата</t>
  </si>
  <si>
    <t>Дисковод CD-ROM</t>
  </si>
  <si>
    <t>Округ</t>
  </si>
  <si>
    <t>Центральный</t>
  </si>
  <si>
    <t>Южный</t>
  </si>
  <si>
    <t>Северо-Западный</t>
  </si>
  <si>
    <t>Дальневосточный</t>
  </si>
  <si>
    <t>Сибирский</t>
  </si>
  <si>
    <t>Уральский</t>
  </si>
  <si>
    <t>Приволожский</t>
  </si>
  <si>
    <t>Северо-Кавказкий</t>
  </si>
  <si>
    <t>Население, тыс.ч.</t>
  </si>
  <si>
    <t>0 лет</t>
  </si>
  <si>
    <t>5 лет</t>
  </si>
  <si>
    <t>10 лет</t>
  </si>
  <si>
    <t>15 лет</t>
  </si>
  <si>
    <t>20 лет</t>
  </si>
  <si>
    <t>Возраст (лет)</t>
  </si>
  <si>
    <t>Рост (см)</t>
  </si>
  <si>
    <t>Вес (кг)</t>
  </si>
  <si>
    <t>Неделя 1</t>
  </si>
  <si>
    <t>Цель</t>
  </si>
  <si>
    <t>Неделя 2</t>
  </si>
  <si>
    <t>Накоплено</t>
  </si>
  <si>
    <t>Неделя 3</t>
  </si>
  <si>
    <t>Неделя 4</t>
  </si>
  <si>
    <t>Выполнено</t>
  </si>
  <si>
    <t>Неделя 5</t>
  </si>
  <si>
    <t>Осталось</t>
  </si>
  <si>
    <t>Неделя 6</t>
  </si>
  <si>
    <t>Неделя 7</t>
  </si>
  <si>
    <t>Неделя 8</t>
  </si>
  <si>
    <t>Неделя 9</t>
  </si>
  <si>
    <t>Неделя 10</t>
  </si>
  <si>
    <t>Период</t>
  </si>
  <si>
    <t>Запроектировано</t>
  </si>
  <si>
    <t>Фактически</t>
  </si>
  <si>
    <t>Расходы</t>
  </si>
  <si>
    <t>Квартал 1</t>
  </si>
  <si>
    <t>Квартал 2</t>
  </si>
  <si>
    <t>Квартал 3</t>
  </si>
  <si>
    <t>Квартал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</si>
</sst>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\ [$₽-419]"/>
    <numFmt numFmtId="166" formatCode="0.0"/>
    <numFmt numFmtId="167" formatCode="[$$-409]#,##0.00"/>
    <numFmt numFmtId="168" formatCode="_-[$$-409]* #,##0.00_ ;_-[$$-409]* \-#,##0.00\ ;_-[$$-409]* &quot;-&quot;??_ ;_-@_ "/>
  </numFmts>
  <fonts count="4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2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164" fontId="0" fillId="0" borderId="0" xfId="0" applyNumberFormat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9" fontId="0" fillId="0" borderId="0" xfId="1" applyFont="1"/>
    <xf numFmtId="0" fontId="0" fillId="0" borderId="0" xfId="0" applyAlignment="1">
      <alignment horizontal="center" vertical="center"/>
    </xf>
    <xf numFmtId="9" fontId="0" fillId="0" borderId="0" xfId="1" applyFont="1" applyAlignment="1">
      <alignment horizontal="center" vertical="center"/>
    </xf>
    <xf numFmtId="0" fontId="0" fillId="0" borderId="1" xfId="0" applyBorder="1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9" fontId="0" fillId="0" borderId="1" xfId="1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66" fontId="0" fillId="0" borderId="0" xfId="0" applyNumberFormat="1" applyAlignment="1">
      <alignment horizontal="center"/>
    </xf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68" fontId="0" fillId="0" borderId="0" xfId="0" applyNumberFormat="1" applyAlignment="1">
      <alignment horizontal="center"/>
    </xf>
  </cellXfs>
  <cellStyles count="2">
    <cellStyle name="Обычный" xfId="0" builtinId="0"/>
    <cellStyle name="Процентный" xfId="1" builtinId="5"/>
  </cellStyles>
  <dxfs count="0"/>
  <tableStyles count="0" defaultTableStyle="TableStyleMedium2" defaultPivotStyle="PivotStyleLight16"/>
  <colors>
    <mruColors>
      <color rgb="FFEBE2BB"/>
      <color rgb="FFFF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eg"/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MD" b="1">
                <a:solidFill>
                  <a:sysClr val="windowText" lastClr="000000"/>
                </a:solidFill>
              </a:rPr>
              <a:t>Задание</a:t>
            </a:r>
            <a:r>
              <a:rPr lang="ru-MD" b="1" baseline="0">
                <a:solidFill>
                  <a:sysClr val="windowText" lastClr="000000"/>
                </a:solidFill>
              </a:rPr>
              <a:t> 1</a:t>
            </a:r>
            <a:endParaRPr lang="ru-MD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MD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2FCA-4C44-8325-FE21986AB4D8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2FCA-4C44-8325-FE21986AB4D8}"/>
              </c:ext>
            </c:extLst>
          </c:dPt>
          <c:dPt>
            <c:idx val="2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2FCA-4C44-8325-FE21986AB4D8}"/>
              </c:ext>
            </c:extLst>
          </c:dPt>
          <c:dPt>
            <c:idx val="3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2FCA-4C44-8325-FE21986AB4D8}"/>
              </c:ext>
            </c:extLst>
          </c:dPt>
          <c:dPt>
            <c:idx val="4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2FCA-4C44-8325-FE21986AB4D8}"/>
              </c:ext>
            </c:extLst>
          </c:dPt>
          <c:dPt>
            <c:idx val="5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2FCA-4C44-8325-FE21986AB4D8}"/>
              </c:ext>
            </c:extLst>
          </c:dPt>
          <c:dPt>
            <c:idx val="6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3F96-4E57-B094-295E8AB22C0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MD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Задание1!$A$3:$A$9</c:f>
              <c:strCache>
                <c:ptCount val="7"/>
                <c:pt idx="0">
                  <c:v>Хлеб</c:v>
                </c:pt>
                <c:pt idx="1">
                  <c:v>Молоко</c:v>
                </c:pt>
                <c:pt idx="2">
                  <c:v>Макароны</c:v>
                </c:pt>
                <c:pt idx="3">
                  <c:v>Гречка</c:v>
                </c:pt>
                <c:pt idx="4">
                  <c:v>Овсянка</c:v>
                </c:pt>
                <c:pt idx="5">
                  <c:v>Торт </c:v>
                </c:pt>
                <c:pt idx="6">
                  <c:v>Мясо</c:v>
                </c:pt>
              </c:strCache>
            </c:strRef>
          </c:cat>
          <c:val>
            <c:numRef>
              <c:f>Задание1!$B$3:$B$9</c:f>
              <c:numCache>
                <c:formatCode>#\ ##0.00\ [$₽-419]</c:formatCode>
                <c:ptCount val="7"/>
                <c:pt idx="0">
                  <c:v>30</c:v>
                </c:pt>
                <c:pt idx="1">
                  <c:v>45</c:v>
                </c:pt>
                <c:pt idx="2">
                  <c:v>50</c:v>
                </c:pt>
                <c:pt idx="3">
                  <c:v>55</c:v>
                </c:pt>
                <c:pt idx="4">
                  <c:v>30</c:v>
                </c:pt>
                <c:pt idx="5">
                  <c:v>250</c:v>
                </c:pt>
                <c:pt idx="6">
                  <c:v>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96-4E57-B094-295E8AB22C06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MD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MD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MD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Задание2!$A$2</c:f>
              <c:strCache>
                <c:ptCount val="1"/>
                <c:pt idx="0">
                  <c:v>Андрей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Задание2!$B$2:$H$2</c:f>
              <c:numCache>
                <c:formatCode>General</c:formatCode>
                <c:ptCount val="7"/>
                <c:pt idx="0">
                  <c:v>20</c:v>
                </c:pt>
                <c:pt idx="1">
                  <c:v>25</c:v>
                </c:pt>
                <c:pt idx="2">
                  <c:v>32</c:v>
                </c:pt>
                <c:pt idx="3">
                  <c:v>30</c:v>
                </c:pt>
                <c:pt idx="4">
                  <c:v>23</c:v>
                </c:pt>
                <c:pt idx="5">
                  <c:v>30</c:v>
                </c:pt>
                <c:pt idx="6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9A-4274-A138-9350408863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2739071"/>
        <c:axId val="482739551"/>
      </c:barChart>
      <c:catAx>
        <c:axId val="48273907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MD"/>
          </a:p>
        </c:txPr>
        <c:crossAx val="482739551"/>
        <c:crosses val="autoZero"/>
        <c:auto val="1"/>
        <c:lblAlgn val="ctr"/>
        <c:lblOffset val="100"/>
        <c:noMultiLvlLbl val="0"/>
      </c:catAx>
      <c:valAx>
        <c:axId val="482739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MD"/>
          </a:p>
        </c:txPr>
        <c:crossAx val="4827390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MD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2025371828521432E-2"/>
          <c:y val="4.6296296296296294E-2"/>
          <c:w val="0.89019685039370078"/>
          <c:h val="0.841674686497521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Задание2!$A$2</c:f>
              <c:strCache>
                <c:ptCount val="1"/>
                <c:pt idx="0">
                  <c:v>Андрей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Задание2!$B$1:$H$1</c:f>
              <c:strCache>
                <c:ptCount val="7"/>
                <c:pt idx="0">
                  <c:v>Пн</c:v>
                </c:pt>
                <c:pt idx="1">
                  <c:v>Вт</c:v>
                </c:pt>
                <c:pt idx="2">
                  <c:v>Ср</c:v>
                </c:pt>
                <c:pt idx="3">
                  <c:v>Чт</c:v>
                </c:pt>
                <c:pt idx="4">
                  <c:v>Пт</c:v>
                </c:pt>
                <c:pt idx="5">
                  <c:v>Сб</c:v>
                </c:pt>
                <c:pt idx="6">
                  <c:v>Вс</c:v>
                </c:pt>
              </c:strCache>
            </c:strRef>
          </c:cat>
          <c:val>
            <c:numRef>
              <c:f>Задание2!$B$2:$H$2</c:f>
              <c:numCache>
                <c:formatCode>General</c:formatCode>
                <c:ptCount val="7"/>
                <c:pt idx="0">
                  <c:v>20</c:v>
                </c:pt>
                <c:pt idx="1">
                  <c:v>25</c:v>
                </c:pt>
                <c:pt idx="2">
                  <c:v>32</c:v>
                </c:pt>
                <c:pt idx="3">
                  <c:v>30</c:v>
                </c:pt>
                <c:pt idx="4">
                  <c:v>23</c:v>
                </c:pt>
                <c:pt idx="5">
                  <c:v>30</c:v>
                </c:pt>
                <c:pt idx="6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72-4A82-A9E3-2B4BAEE9BB2D}"/>
            </c:ext>
          </c:extLst>
        </c:ser>
        <c:ser>
          <c:idx val="1"/>
          <c:order val="1"/>
          <c:tx>
            <c:strRef>
              <c:f>Задание2!$A$3</c:f>
              <c:strCache>
                <c:ptCount val="1"/>
                <c:pt idx="0">
                  <c:v>Илья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Задание2!$B$1:$H$1</c:f>
              <c:strCache>
                <c:ptCount val="7"/>
                <c:pt idx="0">
                  <c:v>Пн</c:v>
                </c:pt>
                <c:pt idx="1">
                  <c:v>Вт</c:v>
                </c:pt>
                <c:pt idx="2">
                  <c:v>Ср</c:v>
                </c:pt>
                <c:pt idx="3">
                  <c:v>Чт</c:v>
                </c:pt>
                <c:pt idx="4">
                  <c:v>Пт</c:v>
                </c:pt>
                <c:pt idx="5">
                  <c:v>Сб</c:v>
                </c:pt>
                <c:pt idx="6">
                  <c:v>Вс</c:v>
                </c:pt>
              </c:strCache>
            </c:strRef>
          </c:cat>
          <c:val>
            <c:numRef>
              <c:f>Задание2!$B$3:$H$3</c:f>
              <c:numCache>
                <c:formatCode>General</c:formatCode>
                <c:ptCount val="7"/>
                <c:pt idx="0">
                  <c:v>33</c:v>
                </c:pt>
                <c:pt idx="1">
                  <c:v>28</c:v>
                </c:pt>
                <c:pt idx="2">
                  <c:v>25</c:v>
                </c:pt>
                <c:pt idx="3">
                  <c:v>25</c:v>
                </c:pt>
                <c:pt idx="4">
                  <c:v>22</c:v>
                </c:pt>
                <c:pt idx="5">
                  <c:v>25</c:v>
                </c:pt>
                <c:pt idx="6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B72-4A82-A9E3-2B4BAEE9BB2D}"/>
            </c:ext>
          </c:extLst>
        </c:ser>
        <c:ser>
          <c:idx val="2"/>
          <c:order val="2"/>
          <c:tx>
            <c:strRef>
              <c:f>Задание2!$A$4</c:f>
              <c:strCache>
                <c:ptCount val="1"/>
                <c:pt idx="0">
                  <c:v>Сергей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Задание2!$B$1:$H$1</c:f>
              <c:strCache>
                <c:ptCount val="7"/>
                <c:pt idx="0">
                  <c:v>Пн</c:v>
                </c:pt>
                <c:pt idx="1">
                  <c:v>Вт</c:v>
                </c:pt>
                <c:pt idx="2">
                  <c:v>Ср</c:v>
                </c:pt>
                <c:pt idx="3">
                  <c:v>Чт</c:v>
                </c:pt>
                <c:pt idx="4">
                  <c:v>Пт</c:v>
                </c:pt>
                <c:pt idx="5">
                  <c:v>Сб</c:v>
                </c:pt>
                <c:pt idx="6">
                  <c:v>Вс</c:v>
                </c:pt>
              </c:strCache>
            </c:strRef>
          </c:cat>
          <c:val>
            <c:numRef>
              <c:f>Задание2!$B$4:$H$4</c:f>
              <c:numCache>
                <c:formatCode>General</c:formatCode>
                <c:ptCount val="7"/>
                <c:pt idx="0">
                  <c:v>15</c:v>
                </c:pt>
                <c:pt idx="1">
                  <c:v>20</c:v>
                </c:pt>
                <c:pt idx="2">
                  <c:v>22</c:v>
                </c:pt>
                <c:pt idx="3">
                  <c:v>29</c:v>
                </c:pt>
                <c:pt idx="4">
                  <c:v>34</c:v>
                </c:pt>
                <c:pt idx="5">
                  <c:v>35</c:v>
                </c:pt>
                <c:pt idx="6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B72-4A82-A9E3-2B4BAEE9BB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82742911"/>
        <c:axId val="482744351"/>
      </c:barChart>
      <c:catAx>
        <c:axId val="4827429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MD"/>
          </a:p>
        </c:txPr>
        <c:crossAx val="482744351"/>
        <c:crosses val="autoZero"/>
        <c:auto val="1"/>
        <c:lblAlgn val="ctr"/>
        <c:lblOffset val="100"/>
        <c:noMultiLvlLbl val="0"/>
      </c:catAx>
      <c:valAx>
        <c:axId val="482744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MD"/>
          </a:p>
        </c:txPr>
        <c:crossAx val="4827429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MD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MD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Задание2!$A$3</c:f>
              <c:strCache>
                <c:ptCount val="1"/>
                <c:pt idx="0">
                  <c:v>Илья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Задание2!$B$3:$H$3</c:f>
              <c:numCache>
                <c:formatCode>General</c:formatCode>
                <c:ptCount val="7"/>
                <c:pt idx="0">
                  <c:v>33</c:v>
                </c:pt>
                <c:pt idx="1">
                  <c:v>28</c:v>
                </c:pt>
                <c:pt idx="2">
                  <c:v>25</c:v>
                </c:pt>
                <c:pt idx="3">
                  <c:v>25</c:v>
                </c:pt>
                <c:pt idx="4">
                  <c:v>22</c:v>
                </c:pt>
                <c:pt idx="5">
                  <c:v>25</c:v>
                </c:pt>
                <c:pt idx="6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D8-4AB2-AEA0-EEC9F22A31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39303231"/>
        <c:axId val="739293631"/>
      </c:barChart>
      <c:catAx>
        <c:axId val="73930323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MD"/>
          </a:p>
        </c:txPr>
        <c:crossAx val="739293631"/>
        <c:crosses val="autoZero"/>
        <c:auto val="1"/>
        <c:lblAlgn val="ctr"/>
        <c:lblOffset val="100"/>
        <c:noMultiLvlLbl val="0"/>
      </c:catAx>
      <c:valAx>
        <c:axId val="739293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MD"/>
          </a:p>
        </c:txPr>
        <c:crossAx val="7393032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MD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MD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Задание2!$A$4</c:f>
              <c:strCache>
                <c:ptCount val="1"/>
                <c:pt idx="0">
                  <c:v>Сергей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Задание2!$B$4:$H$4</c:f>
              <c:numCache>
                <c:formatCode>General</c:formatCode>
                <c:ptCount val="7"/>
                <c:pt idx="0">
                  <c:v>15</c:v>
                </c:pt>
                <c:pt idx="1">
                  <c:v>20</c:v>
                </c:pt>
                <c:pt idx="2">
                  <c:v>22</c:v>
                </c:pt>
                <c:pt idx="3">
                  <c:v>29</c:v>
                </c:pt>
                <c:pt idx="4">
                  <c:v>34</c:v>
                </c:pt>
                <c:pt idx="5">
                  <c:v>35</c:v>
                </c:pt>
                <c:pt idx="6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BF-48DE-AD81-B405A2104A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42135311"/>
        <c:axId val="742137711"/>
      </c:barChart>
      <c:catAx>
        <c:axId val="74213531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MD"/>
          </a:p>
        </c:txPr>
        <c:crossAx val="742137711"/>
        <c:crosses val="autoZero"/>
        <c:auto val="1"/>
        <c:lblAlgn val="ctr"/>
        <c:lblOffset val="100"/>
        <c:noMultiLvlLbl val="0"/>
      </c:catAx>
      <c:valAx>
        <c:axId val="7421377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MD"/>
          </a:p>
        </c:txPr>
        <c:crossAx val="7421353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MD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Задание3!$B$1</c:f>
              <c:strCache>
                <c:ptCount val="1"/>
                <c:pt idx="0">
                  <c:v>Распределение по приоритету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Задание3!$A$2:$A$8</c:f>
              <c:strCache>
                <c:ptCount val="7"/>
                <c:pt idx="0">
                  <c:v>Здоровье</c:v>
                </c:pt>
                <c:pt idx="1">
                  <c:v>Красота</c:v>
                </c:pt>
                <c:pt idx="2">
                  <c:v>Деньги</c:v>
                </c:pt>
                <c:pt idx="3">
                  <c:v>Любовь</c:v>
                </c:pt>
                <c:pt idx="4">
                  <c:v>Сила</c:v>
                </c:pt>
                <c:pt idx="5">
                  <c:v>Добро</c:v>
                </c:pt>
                <c:pt idx="6">
                  <c:v>Труд</c:v>
                </c:pt>
              </c:strCache>
            </c:strRef>
          </c:cat>
          <c:val>
            <c:numRef>
              <c:f>Задание3!$B$2:$B$8</c:f>
              <c:numCache>
                <c:formatCode>0%</c:formatCode>
                <c:ptCount val="7"/>
                <c:pt idx="0">
                  <c:v>0.83</c:v>
                </c:pt>
                <c:pt idx="1">
                  <c:v>0</c:v>
                </c:pt>
                <c:pt idx="2">
                  <c:v>0.05</c:v>
                </c:pt>
                <c:pt idx="3">
                  <c:v>0.05</c:v>
                </c:pt>
                <c:pt idx="4">
                  <c:v>0</c:v>
                </c:pt>
                <c:pt idx="5">
                  <c:v>0.02</c:v>
                </c:pt>
                <c:pt idx="6">
                  <c:v>0.05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C3-42B3-A311-2382CF3554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Круговая диаграмма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explosion val="5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Задание4!$A$2:$A$6</c:f>
              <c:strCache>
                <c:ptCount val="5"/>
                <c:pt idx="0">
                  <c:v>Сливки</c:v>
                </c:pt>
                <c:pt idx="1">
                  <c:v>Молоко</c:v>
                </c:pt>
                <c:pt idx="2">
                  <c:v>Творог</c:v>
                </c:pt>
                <c:pt idx="3">
                  <c:v>Сметана </c:v>
                </c:pt>
                <c:pt idx="4">
                  <c:v>Йогурт</c:v>
                </c:pt>
              </c:strCache>
            </c:strRef>
          </c:cat>
          <c:val>
            <c:numRef>
              <c:f>Задание4!$B$2:$B$6</c:f>
              <c:numCache>
                <c:formatCode>0%</c:formatCode>
                <c:ptCount val="5"/>
                <c:pt idx="0">
                  <c:v>0.08</c:v>
                </c:pt>
                <c:pt idx="1">
                  <c:v>0.18</c:v>
                </c:pt>
                <c:pt idx="2">
                  <c:v>0.2</c:v>
                </c:pt>
                <c:pt idx="3">
                  <c:v>0.13</c:v>
                </c:pt>
                <c:pt idx="4">
                  <c:v>0.41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DC-409F-9A1A-CC7B2FF0A1A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Задание4!$B$18</c:f>
              <c:strCache>
                <c:ptCount val="1"/>
                <c:pt idx="0">
                  <c:v>Частота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Задание4!$A$19:$A$24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numCache>
            </c:numRef>
          </c:cat>
          <c:val>
            <c:numRef>
              <c:f>Задание4!$B$19:$B$24</c:f>
              <c:numCache>
                <c:formatCode>General</c:formatCode>
                <c:ptCount val="6"/>
                <c:pt idx="0">
                  <c:v>12</c:v>
                </c:pt>
                <c:pt idx="1">
                  <c:v>23</c:v>
                </c:pt>
                <c:pt idx="2">
                  <c:v>31</c:v>
                </c:pt>
                <c:pt idx="3">
                  <c:v>10</c:v>
                </c:pt>
                <c:pt idx="4">
                  <c:v>5</c:v>
                </c:pt>
                <c:pt idx="5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C3-4C0B-8DA3-702D654D6B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60171232"/>
        <c:axId val="460172672"/>
      </c:barChart>
      <c:catAx>
        <c:axId val="4601712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b="1"/>
                  <a:t>Количество</a:t>
                </a:r>
                <a:r>
                  <a:rPr lang="ru-RU" b="1" baseline="0"/>
                  <a:t> детей в семье</a:t>
                </a:r>
                <a:endParaRPr lang="ru-RU" b="1"/>
              </a:p>
            </c:rich>
          </c:tx>
          <c:layout>
            <c:manualLayout>
              <c:xMode val="edge"/>
              <c:yMode val="edge"/>
              <c:x val="0.34251968503937003"/>
              <c:y val="0.8786803732866724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0172672"/>
        <c:crosses val="autoZero"/>
        <c:auto val="1"/>
        <c:lblAlgn val="ctr"/>
        <c:lblOffset val="100"/>
        <c:noMultiLvlLbl val="0"/>
      </c:catAx>
      <c:valAx>
        <c:axId val="460172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b="1"/>
                  <a:t>Частота</a:t>
                </a:r>
              </a:p>
            </c:rich>
          </c:tx>
          <c:layout>
            <c:manualLayout>
              <c:xMode val="edge"/>
              <c:yMode val="edge"/>
              <c:x val="3.0555555555555555E-2"/>
              <c:y val="0.34481882473024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01712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b="1"/>
              <a:t>Гистограмма(распределение призывников района по росту)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Задание4!$A$35</c:f>
              <c:strCache>
                <c:ptCount val="1"/>
                <c:pt idx="0">
                  <c:v>155-160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Задание4!$B$34</c:f>
              <c:strCache>
                <c:ptCount val="1"/>
                <c:pt idx="0">
                  <c:v>Количество</c:v>
                </c:pt>
              </c:strCache>
            </c:strRef>
          </c:cat>
          <c:val>
            <c:numRef>
              <c:f>Задание4!$B$35</c:f>
              <c:numCache>
                <c:formatCode>General</c:formatCode>
                <c:ptCount val="1"/>
                <c:pt idx="0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B3-4081-B49B-0A6F676DA249}"/>
            </c:ext>
          </c:extLst>
        </c:ser>
        <c:ser>
          <c:idx val="1"/>
          <c:order val="1"/>
          <c:tx>
            <c:strRef>
              <c:f>Задание4!$A$36</c:f>
              <c:strCache>
                <c:ptCount val="1"/>
                <c:pt idx="0">
                  <c:v>160-165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Задание4!$B$34</c:f>
              <c:strCache>
                <c:ptCount val="1"/>
                <c:pt idx="0">
                  <c:v>Количество</c:v>
                </c:pt>
              </c:strCache>
            </c:strRef>
          </c:cat>
          <c:val>
            <c:numRef>
              <c:f>Задание4!$B$36</c:f>
              <c:numCache>
                <c:formatCode>General</c:formatCode>
                <c:ptCount val="1"/>
                <c:pt idx="0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BB3-4081-B49B-0A6F676DA249}"/>
            </c:ext>
          </c:extLst>
        </c:ser>
        <c:ser>
          <c:idx val="2"/>
          <c:order val="2"/>
          <c:tx>
            <c:strRef>
              <c:f>Задание4!$A$37</c:f>
              <c:strCache>
                <c:ptCount val="1"/>
                <c:pt idx="0">
                  <c:v>165-170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Задание4!$B$34</c:f>
              <c:strCache>
                <c:ptCount val="1"/>
                <c:pt idx="0">
                  <c:v>Количество</c:v>
                </c:pt>
              </c:strCache>
            </c:strRef>
          </c:cat>
          <c:val>
            <c:numRef>
              <c:f>Задание4!$B$37</c:f>
              <c:numCache>
                <c:formatCode>General</c:formatCode>
                <c:ptCount val="1"/>
                <c:pt idx="0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BB3-4081-B49B-0A6F676DA249}"/>
            </c:ext>
          </c:extLst>
        </c:ser>
        <c:ser>
          <c:idx val="3"/>
          <c:order val="3"/>
          <c:tx>
            <c:strRef>
              <c:f>Задание4!$A$38</c:f>
              <c:strCache>
                <c:ptCount val="1"/>
                <c:pt idx="0">
                  <c:v>170-175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Задание4!$B$34</c:f>
              <c:strCache>
                <c:ptCount val="1"/>
                <c:pt idx="0">
                  <c:v>Количество</c:v>
                </c:pt>
              </c:strCache>
            </c:strRef>
          </c:cat>
          <c:val>
            <c:numRef>
              <c:f>Задание4!$B$38</c:f>
              <c:numCache>
                <c:formatCode>General</c:formatCode>
                <c:ptCount val="1"/>
                <c:pt idx="0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BB3-4081-B49B-0A6F676DA249}"/>
            </c:ext>
          </c:extLst>
        </c:ser>
        <c:ser>
          <c:idx val="4"/>
          <c:order val="4"/>
          <c:tx>
            <c:strRef>
              <c:f>Задание4!$A$39</c:f>
              <c:strCache>
                <c:ptCount val="1"/>
                <c:pt idx="0">
                  <c:v>175-180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Задание4!$B$34</c:f>
              <c:strCache>
                <c:ptCount val="1"/>
                <c:pt idx="0">
                  <c:v>Количество</c:v>
                </c:pt>
              </c:strCache>
            </c:strRef>
          </c:cat>
          <c:val>
            <c:numRef>
              <c:f>Задание4!$B$39</c:f>
              <c:numCache>
                <c:formatCode>General</c:formatCode>
                <c:ptCount val="1"/>
                <c:pt idx="0">
                  <c:v>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BB3-4081-B49B-0A6F676DA249}"/>
            </c:ext>
          </c:extLst>
        </c:ser>
        <c:ser>
          <c:idx val="5"/>
          <c:order val="5"/>
          <c:tx>
            <c:strRef>
              <c:f>Задание4!$A$40</c:f>
              <c:strCache>
                <c:ptCount val="1"/>
                <c:pt idx="0">
                  <c:v>180-185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Задание4!$B$34</c:f>
              <c:strCache>
                <c:ptCount val="1"/>
                <c:pt idx="0">
                  <c:v>Количество</c:v>
                </c:pt>
              </c:strCache>
            </c:strRef>
          </c:cat>
          <c:val>
            <c:numRef>
              <c:f>Задание4!$B$40</c:f>
              <c:numCache>
                <c:formatCode>General</c:formatCode>
                <c:ptCount val="1"/>
                <c:pt idx="0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BB3-4081-B49B-0A6F676DA249}"/>
            </c:ext>
          </c:extLst>
        </c:ser>
        <c:ser>
          <c:idx val="6"/>
          <c:order val="6"/>
          <c:tx>
            <c:strRef>
              <c:f>Задание4!$A$41</c:f>
              <c:strCache>
                <c:ptCount val="1"/>
                <c:pt idx="0">
                  <c:v>185-190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Задание4!$B$34</c:f>
              <c:strCache>
                <c:ptCount val="1"/>
                <c:pt idx="0">
                  <c:v>Количество</c:v>
                </c:pt>
              </c:strCache>
            </c:strRef>
          </c:cat>
          <c:val>
            <c:numRef>
              <c:f>Задание4!$B$41</c:f>
              <c:numCache>
                <c:formatCode>General</c:formatCode>
                <c:ptCount val="1"/>
                <c:pt idx="0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BB3-4081-B49B-0A6F676DA249}"/>
            </c:ext>
          </c:extLst>
        </c:ser>
        <c:ser>
          <c:idx val="7"/>
          <c:order val="7"/>
          <c:tx>
            <c:strRef>
              <c:f>Задание4!$A$42</c:f>
              <c:strCache>
                <c:ptCount val="1"/>
                <c:pt idx="0">
                  <c:v>190-195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Задание4!$B$34</c:f>
              <c:strCache>
                <c:ptCount val="1"/>
                <c:pt idx="0">
                  <c:v>Количество</c:v>
                </c:pt>
              </c:strCache>
            </c:strRef>
          </c:cat>
          <c:val>
            <c:numRef>
              <c:f>Задание4!$B$42</c:f>
              <c:numCache>
                <c:formatCode>General</c:formatCode>
                <c:ptCount val="1"/>
                <c:pt idx="0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FBB3-4081-B49B-0A6F676DA2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95552112"/>
        <c:axId val="381367600"/>
      </c:barChart>
      <c:catAx>
        <c:axId val="69555211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381367600"/>
        <c:crosses val="autoZero"/>
        <c:auto val="1"/>
        <c:lblAlgn val="ctr"/>
        <c:lblOffset val="100"/>
        <c:noMultiLvlLbl val="0"/>
      </c:catAx>
      <c:valAx>
        <c:axId val="381367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5552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Среднемесячная</a:t>
            </a:r>
            <a:r>
              <a:rPr lang="ru-RU" baseline="0"/>
              <a:t> т</a:t>
            </a:r>
            <a:r>
              <a:rPr lang="ru-RU"/>
              <a:t>емпература за год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8195623104334802E-2"/>
          <c:y val="0.21117112507928587"/>
          <c:w val="0.66560983279466901"/>
          <c:h val="0.72784482724751531"/>
        </c:manualLayout>
      </c:layout>
      <c:scatterChart>
        <c:scatterStyle val="lineMarker"/>
        <c:varyColors val="0"/>
        <c:ser>
          <c:idx val="0"/>
          <c:order val="0"/>
          <c:tx>
            <c:strRef>
              <c:f>Задание4!$B$51</c:f>
              <c:strCache>
                <c:ptCount val="1"/>
                <c:pt idx="0">
                  <c:v>Температура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Задание4!$A$52:$A$63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xVal>
          <c:yVal>
            <c:numRef>
              <c:f>Задание4!$B$52:$B$63</c:f>
              <c:numCache>
                <c:formatCode>General</c:formatCode>
                <c:ptCount val="12"/>
                <c:pt idx="0">
                  <c:v>-16</c:v>
                </c:pt>
                <c:pt idx="1">
                  <c:v>-10</c:v>
                </c:pt>
                <c:pt idx="2">
                  <c:v>-6</c:v>
                </c:pt>
                <c:pt idx="3">
                  <c:v>4</c:v>
                </c:pt>
                <c:pt idx="4">
                  <c:v>8</c:v>
                </c:pt>
                <c:pt idx="5">
                  <c:v>16</c:v>
                </c:pt>
                <c:pt idx="6">
                  <c:v>22</c:v>
                </c:pt>
                <c:pt idx="7">
                  <c:v>19</c:v>
                </c:pt>
                <c:pt idx="8">
                  <c:v>10</c:v>
                </c:pt>
                <c:pt idx="9">
                  <c:v>6</c:v>
                </c:pt>
                <c:pt idx="10">
                  <c:v>-3</c:v>
                </c:pt>
                <c:pt idx="11">
                  <c:v>-11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7CD-4477-A3E9-BCC5732B7556}"/>
            </c:ext>
          </c:extLst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axId val="387193640"/>
        <c:axId val="387195440"/>
      </c:scatterChart>
      <c:valAx>
        <c:axId val="387193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7195440"/>
        <c:crosses val="autoZero"/>
        <c:crossBetween val="midCat"/>
      </c:valAx>
      <c:valAx>
        <c:axId val="387195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71936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Факторы</a:t>
            </a:r>
          </a:p>
        </c:rich>
      </c:tx>
      <c:layout>
        <c:manualLayout>
          <c:xMode val="edge"/>
          <c:yMode val="edge"/>
          <c:x val="0.27612489063867018"/>
          <c:y val="5.555555555555555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8900481189851268E-2"/>
          <c:y val="0.17171296296296298"/>
          <c:w val="0.88498840769903764"/>
          <c:h val="0.6700313502478856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Задание4!$A$68:$A$71</c:f>
              <c:strCache>
                <c:ptCount val="4"/>
                <c:pt idx="0">
                  <c:v> Образ жизни</c:v>
                </c:pt>
                <c:pt idx="1">
                  <c:v>Наследственность</c:v>
                </c:pt>
                <c:pt idx="2">
                  <c:v>Экологическая обстановка</c:v>
                </c:pt>
                <c:pt idx="3">
                  <c:v>Здравоохранение</c:v>
                </c:pt>
              </c:strCache>
            </c:strRef>
          </c:cat>
          <c:val>
            <c:numRef>
              <c:f>Задание4!$B$68:$B$71</c:f>
              <c:numCache>
                <c:formatCode>0%</c:formatCode>
                <c:ptCount val="4"/>
                <c:pt idx="0">
                  <c:v>0.5</c:v>
                </c:pt>
                <c:pt idx="1">
                  <c:v>0.2</c:v>
                </c:pt>
                <c:pt idx="2">
                  <c:v>0.2</c:v>
                </c:pt>
                <c:pt idx="3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9C-4985-8E5D-564CB4CF27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95558232"/>
        <c:axId val="695560392"/>
      </c:barChart>
      <c:catAx>
        <c:axId val="695558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5560392"/>
        <c:crosses val="autoZero"/>
        <c:auto val="1"/>
        <c:lblAlgn val="ctr"/>
        <c:lblOffset val="100"/>
        <c:noMultiLvlLbl val="0"/>
      </c:catAx>
      <c:valAx>
        <c:axId val="695560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55582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 rot="-5400000" vert="horz"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b="1">
                <a:solidFill>
                  <a:srgbClr val="FF0000"/>
                </a:solidFill>
              </a:rPr>
              <a:t>Численность</a:t>
            </a:r>
            <a:r>
              <a:rPr lang="ru-RU" b="1" baseline="0">
                <a:solidFill>
                  <a:srgbClr val="FF0000"/>
                </a:solidFill>
              </a:rPr>
              <a:t> об</a:t>
            </a:r>
            <a:r>
              <a:rPr lang="ru-RU" b="1">
                <a:solidFill>
                  <a:srgbClr val="FF0000"/>
                </a:solidFill>
              </a:rPr>
              <a:t>учающихся в школе №18 за</a:t>
            </a:r>
            <a:r>
              <a:rPr lang="ru-RU" b="1" baseline="0">
                <a:solidFill>
                  <a:srgbClr val="FF0000"/>
                </a:solidFill>
              </a:rPr>
              <a:t> последние 5 лет</a:t>
            </a:r>
            <a:endParaRPr lang="ru-RU" b="1">
              <a:solidFill>
                <a:srgbClr val="FF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Задание4!$B$83</c:f>
              <c:strCache>
                <c:ptCount val="1"/>
                <c:pt idx="0">
                  <c:v>Количество учащихся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Задание4!$A$84:$A$88</c:f>
              <c:numCache>
                <c:formatCode>General</c:formatCode>
                <c:ptCount val="5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</c:numCache>
            </c:numRef>
          </c:cat>
          <c:val>
            <c:numRef>
              <c:f>Задание4!$B$84:$B$88</c:f>
              <c:numCache>
                <c:formatCode>General</c:formatCode>
                <c:ptCount val="5"/>
                <c:pt idx="0">
                  <c:v>598</c:v>
                </c:pt>
                <c:pt idx="1">
                  <c:v>606</c:v>
                </c:pt>
                <c:pt idx="2">
                  <c:v>670</c:v>
                </c:pt>
                <c:pt idx="3">
                  <c:v>630</c:v>
                </c:pt>
                <c:pt idx="4">
                  <c:v>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B7-4359-B206-71269743CB1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460173392"/>
        <c:axId val="460176272"/>
        <c:axId val="0"/>
      </c:bar3DChart>
      <c:catAx>
        <c:axId val="460173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0176272"/>
        <c:crosses val="autoZero"/>
        <c:auto val="1"/>
        <c:lblAlgn val="ctr"/>
        <c:lblOffset val="100"/>
        <c:noMultiLvlLbl val="0"/>
      </c:catAx>
      <c:valAx>
        <c:axId val="460176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01733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92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Доля цен устройств в цене компьютера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92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Задание4!$B$97</c:f>
              <c:strCache>
                <c:ptCount val="1"/>
                <c:pt idx="0">
                  <c:v>Доля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0156-4417-A6B2-887D7ACB799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156-4417-A6B2-887D7ACB7992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91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Задание4!$A$98:$A$104</c:f>
              <c:strCache>
                <c:ptCount val="7"/>
                <c:pt idx="0">
                  <c:v>Клавиатура</c:v>
                </c:pt>
                <c:pt idx="1">
                  <c:v>Монитор</c:v>
                </c:pt>
                <c:pt idx="2">
                  <c:v>Жесткий диск</c:v>
                </c:pt>
                <c:pt idx="3">
                  <c:v>Оперативная память</c:v>
                </c:pt>
                <c:pt idx="4">
                  <c:v>Процессор</c:v>
                </c:pt>
                <c:pt idx="5">
                  <c:v>Системная плата</c:v>
                </c:pt>
                <c:pt idx="6">
                  <c:v>Дисковод CD-ROM</c:v>
                </c:pt>
              </c:strCache>
            </c:strRef>
          </c:cat>
          <c:val>
            <c:numRef>
              <c:f>Задание4!$B$98:$B$104</c:f>
              <c:numCache>
                <c:formatCode>General</c:formatCode>
                <c:ptCount val="7"/>
                <c:pt idx="0">
                  <c:v>0.04</c:v>
                </c:pt>
                <c:pt idx="1">
                  <c:v>0.05</c:v>
                </c:pt>
                <c:pt idx="2">
                  <c:v>7.0000000000000007E-2</c:v>
                </c:pt>
                <c:pt idx="3">
                  <c:v>0.09</c:v>
                </c:pt>
                <c:pt idx="4">
                  <c:v>0.32</c:v>
                </c:pt>
                <c:pt idx="5">
                  <c:v>0.39</c:v>
                </c:pt>
                <c:pt idx="6">
                  <c:v>0.04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56-4417-A6B2-887D7ACB79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910" b="1" i="0" baseline="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>
                <a:solidFill>
                  <a:srgbClr val="FF0000"/>
                </a:solidFill>
              </a:rPr>
              <a:t>Численность</a:t>
            </a:r>
            <a:r>
              <a:rPr lang="ru-RU" baseline="0">
                <a:solidFill>
                  <a:srgbClr val="FF0000"/>
                </a:solidFill>
              </a:rPr>
              <a:t> н</a:t>
            </a:r>
            <a:r>
              <a:rPr lang="ru-RU">
                <a:solidFill>
                  <a:srgbClr val="FF0000"/>
                </a:solidFill>
              </a:rPr>
              <a:t>аселения</a:t>
            </a:r>
            <a:r>
              <a:rPr lang="ru-RU" baseline="0">
                <a:solidFill>
                  <a:srgbClr val="FF0000"/>
                </a:solidFill>
              </a:rPr>
              <a:t> Федеральных округов РФ</a:t>
            </a:r>
            <a:r>
              <a:rPr lang="ru-RU">
                <a:solidFill>
                  <a:srgbClr val="FF0000"/>
                </a:solidFill>
              </a:rPr>
              <a:t>.</a:t>
            </a:r>
          </a:p>
        </c:rich>
      </c:tx>
      <c:layout>
        <c:manualLayout>
          <c:xMode val="edge"/>
          <c:yMode val="edge"/>
          <c:x val="0.34004155730533681"/>
          <c:y val="2.31481481481481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Задание4!$B$119</c:f>
              <c:strCache>
                <c:ptCount val="1"/>
                <c:pt idx="0">
                  <c:v>Население, тыс.ч.</c:v>
                </c:pt>
              </c:strCache>
            </c:strRef>
          </c:tx>
          <c:explosion val="10"/>
          <c:dPt>
            <c:idx val="0"/>
            <c:bubble3D val="0"/>
            <c:explosion val="27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2-3D56-46AD-82C5-EC625E6DF3FC}"/>
              </c:ext>
            </c:extLst>
          </c:dPt>
          <c:dPt>
            <c:idx val="1"/>
            <c:bubble3D val="0"/>
            <c:explosion val="2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3D56-46AD-82C5-EC625E6DF3FC}"/>
              </c:ext>
            </c:extLst>
          </c:dPt>
          <c:dPt>
            <c:idx val="2"/>
            <c:bubble3D val="0"/>
            <c:explosion val="23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3D56-46AD-82C5-EC625E6DF3FC}"/>
              </c:ext>
            </c:extLst>
          </c:dPt>
          <c:dPt>
            <c:idx val="3"/>
            <c:bubble3D val="0"/>
            <c:explosion val="28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4-3D56-46AD-82C5-EC625E6DF3FC}"/>
              </c:ext>
            </c:extLst>
          </c:dPt>
          <c:dPt>
            <c:idx val="4"/>
            <c:bubble3D val="0"/>
            <c:explosion val="26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3D56-46AD-82C5-EC625E6DF3FC}"/>
              </c:ext>
            </c:extLst>
          </c:dPt>
          <c:dPt>
            <c:idx val="5"/>
            <c:bubble3D val="0"/>
            <c:explosion val="18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6-3D56-46AD-82C5-EC625E6DF3FC}"/>
              </c:ext>
            </c:extLst>
          </c:dPt>
          <c:dPt>
            <c:idx val="6"/>
            <c:bubble3D val="0"/>
            <c:explosion val="2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3D56-46AD-82C5-EC625E6DF3FC}"/>
              </c:ext>
            </c:extLst>
          </c:dPt>
          <c:dPt>
            <c:idx val="7"/>
            <c:bubble3D val="0"/>
            <c:explosion val="17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8-3D56-46AD-82C5-EC625E6DF3F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Задание4!$A$120:$A$127</c:f>
              <c:strCache>
                <c:ptCount val="8"/>
                <c:pt idx="0">
                  <c:v>Центральный</c:v>
                </c:pt>
                <c:pt idx="1">
                  <c:v>Южный</c:v>
                </c:pt>
                <c:pt idx="2">
                  <c:v>Северо-Западный</c:v>
                </c:pt>
                <c:pt idx="3">
                  <c:v>Дальневосточный</c:v>
                </c:pt>
                <c:pt idx="4">
                  <c:v>Сибирский</c:v>
                </c:pt>
                <c:pt idx="5">
                  <c:v>Уральский</c:v>
                </c:pt>
                <c:pt idx="6">
                  <c:v>Приволожский</c:v>
                </c:pt>
                <c:pt idx="7">
                  <c:v>Северо-Кавказкий</c:v>
                </c:pt>
              </c:strCache>
            </c:strRef>
          </c:cat>
          <c:val>
            <c:numRef>
              <c:f>Задание4!$B$120:$B$127</c:f>
              <c:numCache>
                <c:formatCode>General</c:formatCode>
                <c:ptCount val="8"/>
                <c:pt idx="0">
                  <c:v>37.121000000000002</c:v>
                </c:pt>
                <c:pt idx="1">
                  <c:v>14.686</c:v>
                </c:pt>
                <c:pt idx="2">
                  <c:v>13.686</c:v>
                </c:pt>
                <c:pt idx="3">
                  <c:v>6.46</c:v>
                </c:pt>
                <c:pt idx="4">
                  <c:v>19.545000000000002</c:v>
                </c:pt>
                <c:pt idx="5">
                  <c:v>12.254</c:v>
                </c:pt>
                <c:pt idx="6">
                  <c:v>30.157</c:v>
                </c:pt>
                <c:pt idx="7">
                  <c:v>8.2149999999999999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56-46AD-82C5-EC625E6DF3F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[1]Задание_5!$A$2</c:f>
              <c:strCache>
                <c:ptCount val="1"/>
                <c:pt idx="0">
                  <c:v>Рост (см)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[1]Задание_5!$B$1:$F$1</c:f>
              <c:strCache>
                <c:ptCount val="5"/>
                <c:pt idx="0">
                  <c:v>0 лет</c:v>
                </c:pt>
                <c:pt idx="1">
                  <c:v>5 лет</c:v>
                </c:pt>
                <c:pt idx="2">
                  <c:v>10 лет</c:v>
                </c:pt>
                <c:pt idx="3">
                  <c:v>15 лет</c:v>
                </c:pt>
                <c:pt idx="4">
                  <c:v>20 лет</c:v>
                </c:pt>
              </c:strCache>
            </c:strRef>
          </c:cat>
          <c:val>
            <c:numRef>
              <c:f>[1]Задание_5!$B$2:$F$2</c:f>
              <c:numCache>
                <c:formatCode>General</c:formatCode>
                <c:ptCount val="5"/>
                <c:pt idx="0">
                  <c:v>51</c:v>
                </c:pt>
                <c:pt idx="1">
                  <c:v>108</c:v>
                </c:pt>
                <c:pt idx="2">
                  <c:v>137</c:v>
                </c:pt>
                <c:pt idx="3">
                  <c:v>167</c:v>
                </c:pt>
                <c:pt idx="4">
                  <c:v>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EF-4D49-97F5-712406BB6E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669167200"/>
        <c:axId val="669162400"/>
      </c:barChart>
      <c:lineChart>
        <c:grouping val="standard"/>
        <c:varyColors val="0"/>
        <c:ser>
          <c:idx val="1"/>
          <c:order val="1"/>
          <c:tx>
            <c:strRef>
              <c:f>[1]Задание_5!$A$3</c:f>
              <c:strCache>
                <c:ptCount val="1"/>
                <c:pt idx="0">
                  <c:v>Вес (кг)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[1]Задание_5!$B$1:$F$1</c:f>
              <c:strCache>
                <c:ptCount val="5"/>
                <c:pt idx="0">
                  <c:v>0 лет</c:v>
                </c:pt>
                <c:pt idx="1">
                  <c:v>5 лет</c:v>
                </c:pt>
                <c:pt idx="2">
                  <c:v>10 лет</c:v>
                </c:pt>
                <c:pt idx="3">
                  <c:v>15 лет</c:v>
                </c:pt>
                <c:pt idx="4">
                  <c:v>20 лет</c:v>
                </c:pt>
              </c:strCache>
            </c:strRef>
          </c:cat>
          <c:val>
            <c:numRef>
              <c:f>[1]Задание_5!$B$3:$F$3</c:f>
              <c:numCache>
                <c:formatCode>General</c:formatCode>
                <c:ptCount val="5"/>
                <c:pt idx="0">
                  <c:v>3.8</c:v>
                </c:pt>
                <c:pt idx="1">
                  <c:v>18.5</c:v>
                </c:pt>
                <c:pt idx="2">
                  <c:v>30</c:v>
                </c:pt>
                <c:pt idx="3">
                  <c:v>55</c:v>
                </c:pt>
                <c:pt idx="4">
                  <c:v>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DEF-4D49-97F5-712406BB6E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69182560"/>
        <c:axId val="669184480"/>
      </c:lineChart>
      <c:catAx>
        <c:axId val="669167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MD"/>
          </a:p>
        </c:txPr>
        <c:crossAx val="669162400"/>
        <c:crosses val="autoZero"/>
        <c:auto val="1"/>
        <c:lblAlgn val="ctr"/>
        <c:lblOffset val="100"/>
        <c:noMultiLvlLbl val="0"/>
      </c:catAx>
      <c:valAx>
        <c:axId val="669162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MD"/>
          </a:p>
        </c:txPr>
        <c:crossAx val="669167200"/>
        <c:crosses val="autoZero"/>
        <c:crossBetween val="between"/>
      </c:valAx>
      <c:valAx>
        <c:axId val="669184480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MD"/>
          </a:p>
        </c:txPr>
        <c:crossAx val="669182560"/>
        <c:crosses val="max"/>
        <c:crossBetween val="between"/>
      </c:valAx>
      <c:catAx>
        <c:axId val="66918256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6918448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MD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MD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[1]Задание_6!$D$4</c:f>
              <c:strCache>
                <c:ptCount val="1"/>
                <c:pt idx="0">
                  <c:v>Выполнено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MD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[1]Задание_6!$E$4</c:f>
              <c:numCache>
                <c:formatCode>General</c:formatCode>
                <c:ptCount val="1"/>
                <c:pt idx="0">
                  <c:v>0.97850000000000004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A3-4A16-873F-9510CB9DE20E}"/>
            </c:ext>
          </c:extLst>
        </c:ser>
        <c:ser>
          <c:idx val="1"/>
          <c:order val="1"/>
          <c:tx>
            <c:strRef>
              <c:f>[1]Задание_6!$D$5</c:f>
              <c:strCache>
                <c:ptCount val="1"/>
                <c:pt idx="0">
                  <c:v>Осталось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MD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[1]Задание_6!$E$5</c:f>
              <c:numCache>
                <c:formatCode>General</c:formatCode>
                <c:ptCount val="1"/>
                <c:pt idx="0">
                  <c:v>2.1499999999999964E-2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0A3-4A16-873F-9510CB9DE2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100"/>
        <c:axId val="669163360"/>
        <c:axId val="669163840"/>
      </c:barChart>
      <c:catAx>
        <c:axId val="66916336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669163840"/>
        <c:crosses val="autoZero"/>
        <c:auto val="1"/>
        <c:lblAlgn val="ctr"/>
        <c:lblOffset val="100"/>
        <c:noMultiLvlLbl val="0"/>
      </c:catAx>
      <c:valAx>
        <c:axId val="669163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MD"/>
          </a:p>
        </c:txPr>
        <c:crossAx val="669163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MD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MD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Задание7!$A$2</c:f>
              <c:strCache>
                <c:ptCount val="1"/>
                <c:pt idx="0">
                  <c:v>Запроектировано</c:v>
                </c:pt>
              </c:strCache>
            </c:strRef>
          </c:tx>
          <c:spPr>
            <a:blipFill>
              <a:blip xmlns:r="http://schemas.openxmlformats.org/officeDocument/2006/relationships" r:embed="rId3"/>
              <a:tile tx="0" ty="0" sx="100000" sy="100000" flip="none" algn="tl"/>
            </a:blipFill>
            <a:ln>
              <a:noFill/>
            </a:ln>
            <a:effectLst/>
          </c:spPr>
          <c:invertIfNegative val="0"/>
          <c:cat>
            <c:strRef>
              <c:f>Задание7!$B$1:$E$1</c:f>
              <c:strCache>
                <c:ptCount val="4"/>
                <c:pt idx="0">
                  <c:v>Квартал 1</c:v>
                </c:pt>
                <c:pt idx="1">
                  <c:v>Квартал 2</c:v>
                </c:pt>
                <c:pt idx="2">
                  <c:v>Квартал 3</c:v>
                </c:pt>
                <c:pt idx="3">
                  <c:v>Квартал 4</c:v>
                </c:pt>
              </c:strCache>
            </c:strRef>
          </c:cat>
          <c:val>
            <c:numRef>
              <c:f>Задание7!$B$2:$E$2</c:f>
              <c:numCache>
                <c:formatCode>General</c:formatCode>
                <c:ptCount val="4"/>
                <c:pt idx="0">
                  <c:v>75</c:v>
                </c:pt>
                <c:pt idx="1">
                  <c:v>85</c:v>
                </c:pt>
                <c:pt idx="2">
                  <c:v>90</c:v>
                </c:pt>
                <c:pt idx="3">
                  <c:v>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07-429A-9F92-0625089EFADD}"/>
            </c:ext>
          </c:extLst>
        </c:ser>
        <c:ser>
          <c:idx val="1"/>
          <c:order val="1"/>
          <c:tx>
            <c:strRef>
              <c:f>Задание7!$A$3</c:f>
              <c:strCache>
                <c:ptCount val="1"/>
                <c:pt idx="0">
                  <c:v>Фактически</c:v>
                </c:pt>
              </c:strCache>
            </c:strRef>
          </c:tx>
          <c:spPr>
            <a:gradFill flip="none" rotWithShape="1">
              <a:gsLst>
                <a:gs pos="0">
                  <a:srgbClr val="92D050">
                    <a:tint val="66000"/>
                    <a:satMod val="160000"/>
                  </a:srgbClr>
                </a:gs>
                <a:gs pos="50000">
                  <a:srgbClr val="92D050">
                    <a:tint val="44500"/>
                    <a:satMod val="160000"/>
                  </a:srgbClr>
                </a:gs>
                <a:gs pos="100000">
                  <a:srgbClr val="92D050">
                    <a:tint val="23500"/>
                    <a:satMod val="160000"/>
                  </a:srgbClr>
                </a:gs>
              </a:gsLst>
              <a:path path="circle">
                <a:fillToRect t="100000" r="100000"/>
              </a:path>
              <a:tileRect l="-100000" b="-100000"/>
            </a:gradFill>
            <a:ln>
              <a:noFill/>
            </a:ln>
            <a:effectLst/>
          </c:spPr>
          <c:invertIfNegative val="0"/>
          <c:cat>
            <c:strRef>
              <c:f>Задание7!$B$1:$E$1</c:f>
              <c:strCache>
                <c:ptCount val="4"/>
                <c:pt idx="0">
                  <c:v>Квартал 1</c:v>
                </c:pt>
                <c:pt idx="1">
                  <c:v>Квартал 2</c:v>
                </c:pt>
                <c:pt idx="2">
                  <c:v>Квартал 3</c:v>
                </c:pt>
                <c:pt idx="3">
                  <c:v>Квартал 4</c:v>
                </c:pt>
              </c:strCache>
            </c:strRef>
          </c:cat>
          <c:val>
            <c:numRef>
              <c:f>Задание7!$B$3:$E$3</c:f>
              <c:numCache>
                <c:formatCode>General</c:formatCode>
                <c:ptCount val="4"/>
                <c:pt idx="0">
                  <c:v>84</c:v>
                </c:pt>
                <c:pt idx="1">
                  <c:v>80</c:v>
                </c:pt>
                <c:pt idx="2">
                  <c:v>96</c:v>
                </c:pt>
                <c:pt idx="3">
                  <c:v>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407-429A-9F92-0625089EFA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70147752"/>
        <c:axId val="470150272"/>
      </c:barChart>
      <c:lineChart>
        <c:grouping val="standard"/>
        <c:varyColors val="0"/>
        <c:ser>
          <c:idx val="2"/>
          <c:order val="2"/>
          <c:tx>
            <c:strRef>
              <c:f>Задание7!$A$4</c:f>
              <c:strCache>
                <c:ptCount val="1"/>
                <c:pt idx="0">
                  <c:v>Расходы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Задание7!$B$1:$E$1</c:f>
              <c:strCache>
                <c:ptCount val="4"/>
                <c:pt idx="0">
                  <c:v>Квартал 1</c:v>
                </c:pt>
                <c:pt idx="1">
                  <c:v>Квартал 2</c:v>
                </c:pt>
                <c:pt idx="2">
                  <c:v>Квартал 3</c:v>
                </c:pt>
                <c:pt idx="3">
                  <c:v>Квартал 4</c:v>
                </c:pt>
              </c:strCache>
            </c:strRef>
          </c:cat>
          <c:val>
            <c:numRef>
              <c:f>Задание7!$B$4:$E$4</c:f>
              <c:numCache>
                <c:formatCode>General</c:formatCode>
                <c:ptCount val="4"/>
                <c:pt idx="0">
                  <c:v>-10</c:v>
                </c:pt>
                <c:pt idx="1">
                  <c:v>95</c:v>
                </c:pt>
                <c:pt idx="2">
                  <c:v>20</c:v>
                </c:pt>
                <c:pt idx="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407-429A-9F92-0625089EFA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148112"/>
        <c:axId val="470149912"/>
      </c:lineChart>
      <c:catAx>
        <c:axId val="470147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0150272"/>
        <c:auto val="1"/>
        <c:lblAlgn val="ctr"/>
        <c:lblOffset val="100"/>
        <c:noMultiLvlLbl val="0"/>
      </c:catAx>
      <c:valAx>
        <c:axId val="470150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0147752"/>
        <c:crossBetween val="between"/>
      </c:valAx>
      <c:valAx>
        <c:axId val="470149912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0148112"/>
        <c:crosses val="max"/>
        <c:crossBetween val="between"/>
      </c:valAx>
      <c:catAx>
        <c:axId val="47014811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70149912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EBE2BB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4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4.xml"/><Relationship Id="rId3" Type="http://schemas.openxmlformats.org/officeDocument/2006/relationships/chart" Target="../charts/chart9.xml"/><Relationship Id="rId7" Type="http://schemas.openxmlformats.org/officeDocument/2006/relationships/chart" Target="../charts/chart13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6" Type="http://schemas.openxmlformats.org/officeDocument/2006/relationships/chart" Target="../charts/chart12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426720</xdr:colOff>
      <xdr:row>1</xdr:row>
      <xdr:rowOff>26670</xdr:rowOff>
    </xdr:from>
    <xdr:to>
      <xdr:col>10</xdr:col>
      <xdr:colOff>121920</xdr:colOff>
      <xdr:row>16</xdr:row>
      <xdr:rowOff>26670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A6793204-2A16-E0D0-2CAC-C7B355C244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419100</xdr:colOff>
      <xdr:row>0</xdr:row>
      <xdr:rowOff>49530</xdr:rowOff>
    </xdr:from>
    <xdr:to>
      <xdr:col>23</xdr:col>
      <xdr:colOff>114300</xdr:colOff>
      <xdr:row>15</xdr:row>
      <xdr:rowOff>49530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B6C6C21A-ACC5-1545-2E1D-4EB1285819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99060</xdr:colOff>
      <xdr:row>0</xdr:row>
      <xdr:rowOff>57150</xdr:rowOff>
    </xdr:from>
    <xdr:to>
      <xdr:col>15</xdr:col>
      <xdr:colOff>403860</xdr:colOff>
      <xdr:row>15</xdr:row>
      <xdr:rowOff>57150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4DBF12F4-93E0-163C-0FED-73B4F1F5B1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419100</xdr:colOff>
      <xdr:row>15</xdr:row>
      <xdr:rowOff>49530</xdr:rowOff>
    </xdr:from>
    <xdr:to>
      <xdr:col>23</xdr:col>
      <xdr:colOff>114300</xdr:colOff>
      <xdr:row>30</xdr:row>
      <xdr:rowOff>49530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EF7AC77F-FC5C-198B-E153-BF97716727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91440</xdr:colOff>
      <xdr:row>15</xdr:row>
      <xdr:rowOff>41910</xdr:rowOff>
    </xdr:from>
    <xdr:to>
      <xdr:col>15</xdr:col>
      <xdr:colOff>396240</xdr:colOff>
      <xdr:row>30</xdr:row>
      <xdr:rowOff>41910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3A47464E-51BB-222E-90C2-82408F9704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590550</xdr:colOff>
      <xdr:row>1</xdr:row>
      <xdr:rowOff>4762</xdr:rowOff>
    </xdr:from>
    <xdr:to>
      <xdr:col>14</xdr:col>
      <xdr:colOff>19050</xdr:colOff>
      <xdr:row>24</xdr:row>
      <xdr:rowOff>114300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83DCB949-9252-846D-F9A3-F1DA5E9E2F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9525</xdr:colOff>
      <xdr:row>0</xdr:row>
      <xdr:rowOff>14287</xdr:rowOff>
    </xdr:from>
    <xdr:to>
      <xdr:col>10</xdr:col>
      <xdr:colOff>314325</xdr:colOff>
      <xdr:row>14</xdr:row>
      <xdr:rowOff>90487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A45A26C9-DF55-1ACA-A278-95969301C2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590550</xdr:colOff>
      <xdr:row>15</xdr:row>
      <xdr:rowOff>185737</xdr:rowOff>
    </xdr:from>
    <xdr:to>
      <xdr:col>10</xdr:col>
      <xdr:colOff>285750</xdr:colOff>
      <xdr:row>30</xdr:row>
      <xdr:rowOff>71437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7665F7FE-BC42-D364-0DF4-F9A1D9CC3C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604837</xdr:colOff>
      <xdr:row>31</xdr:row>
      <xdr:rowOff>185737</xdr:rowOff>
    </xdr:from>
    <xdr:to>
      <xdr:col>9</xdr:col>
      <xdr:colOff>542925</xdr:colOff>
      <xdr:row>46</xdr:row>
      <xdr:rowOff>71437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6BEF56E3-A336-4D6E-78E5-3383DF0BDC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585785</xdr:colOff>
      <xdr:row>48</xdr:row>
      <xdr:rowOff>128587</xdr:rowOff>
    </xdr:from>
    <xdr:to>
      <xdr:col>11</xdr:col>
      <xdr:colOff>76200</xdr:colOff>
      <xdr:row>60</xdr:row>
      <xdr:rowOff>133350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A2442CE6-C3E3-0640-8FD1-A058E6C58A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4762</xdr:colOff>
      <xdr:row>62</xdr:row>
      <xdr:rowOff>4762</xdr:rowOff>
    </xdr:from>
    <xdr:to>
      <xdr:col>10</xdr:col>
      <xdr:colOff>309562</xdr:colOff>
      <xdr:row>77</xdr:row>
      <xdr:rowOff>114300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5E4945B6-DEA8-0562-C6E2-95D55D7AD4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</xdr:col>
      <xdr:colOff>461962</xdr:colOff>
      <xdr:row>77</xdr:row>
      <xdr:rowOff>185737</xdr:rowOff>
    </xdr:from>
    <xdr:to>
      <xdr:col>12</xdr:col>
      <xdr:colOff>157162</xdr:colOff>
      <xdr:row>92</xdr:row>
      <xdr:rowOff>71437</xdr:rowOff>
    </xdr:to>
    <xdr:graphicFrame macro="">
      <xdr:nvGraphicFramePr>
        <xdr:cNvPr id="7" name="Диаграмма 6">
          <a:extLst>
            <a:ext uri="{FF2B5EF4-FFF2-40B4-BE49-F238E27FC236}">
              <a16:creationId xmlns:a16="http://schemas.microsoft.com/office/drawing/2014/main" id="{7CB9BB20-596A-0F7C-FC1E-01AC31C214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</xdr:col>
      <xdr:colOff>42861</xdr:colOff>
      <xdr:row>95</xdr:row>
      <xdr:rowOff>33336</xdr:rowOff>
    </xdr:from>
    <xdr:to>
      <xdr:col>12</xdr:col>
      <xdr:colOff>142875</xdr:colOff>
      <xdr:row>112</xdr:row>
      <xdr:rowOff>85725</xdr:rowOff>
    </xdr:to>
    <xdr:graphicFrame macro="">
      <xdr:nvGraphicFramePr>
        <xdr:cNvPr id="8" name="Диаграмма 7">
          <a:extLst>
            <a:ext uri="{FF2B5EF4-FFF2-40B4-BE49-F238E27FC236}">
              <a16:creationId xmlns:a16="http://schemas.microsoft.com/office/drawing/2014/main" id="{2A529972-E92D-702C-4BEB-8FF17DB39E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</xdr:col>
      <xdr:colOff>319087</xdr:colOff>
      <xdr:row>115</xdr:row>
      <xdr:rowOff>71437</xdr:rowOff>
    </xdr:from>
    <xdr:to>
      <xdr:col>11</xdr:col>
      <xdr:colOff>14287</xdr:colOff>
      <xdr:row>129</xdr:row>
      <xdr:rowOff>147637</xdr:rowOff>
    </xdr:to>
    <xdr:graphicFrame macro="">
      <xdr:nvGraphicFramePr>
        <xdr:cNvPr id="9" name="Диаграмма 8">
          <a:extLst>
            <a:ext uri="{FF2B5EF4-FFF2-40B4-BE49-F238E27FC236}">
              <a16:creationId xmlns:a16="http://schemas.microsoft.com/office/drawing/2014/main" id="{3F88477B-C712-0477-70C4-6B94D47105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7620</xdr:colOff>
      <xdr:row>0</xdr:row>
      <xdr:rowOff>0</xdr:rowOff>
    </xdr:from>
    <xdr:to>
      <xdr:col>13</xdr:col>
      <xdr:colOff>312420</xdr:colOff>
      <xdr:row>15</xdr:row>
      <xdr:rowOff>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19BF495F-8203-4233-A2AD-3A3480073F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592455</xdr:colOff>
      <xdr:row>1</xdr:row>
      <xdr:rowOff>59055</xdr:rowOff>
    </xdr:from>
    <xdr:to>
      <xdr:col>14</xdr:col>
      <xdr:colOff>245745</xdr:colOff>
      <xdr:row>16</xdr:row>
      <xdr:rowOff>59055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79A26C77-6AF2-49B9-BBB4-3F9B3A7B33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390525</xdr:colOff>
      <xdr:row>0</xdr:row>
      <xdr:rowOff>0</xdr:rowOff>
    </xdr:from>
    <xdr:to>
      <xdr:col>13</xdr:col>
      <xdr:colOff>85725</xdr:colOff>
      <xdr:row>14</xdr:row>
      <xdr:rowOff>76200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C3EB4C39-EAB2-A6D8-0BA8-D10B17D61D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DELL\Downloads\Telegram%20Desktop\&#1082;&#1086;&#1084;&#1087;1.xlsx" TargetMode="External"/><Relationship Id="rId1" Type="http://schemas.openxmlformats.org/officeDocument/2006/relationships/externalLinkPath" Target="/Users/DELL/Downloads/Telegram%20Desktop/&#1082;&#1086;&#1084;&#1087;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Задание_5"/>
      <sheetName val="Задание_6"/>
    </sheetNames>
    <sheetDataSet>
      <sheetData sheetId="0">
        <row r="1">
          <cell r="B1" t="str">
            <v>0 лет</v>
          </cell>
          <cell r="C1" t="str">
            <v>5 лет</v>
          </cell>
          <cell r="D1" t="str">
            <v>10 лет</v>
          </cell>
          <cell r="E1" t="str">
            <v>15 лет</v>
          </cell>
          <cell r="F1" t="str">
            <v>20 лет</v>
          </cell>
        </row>
        <row r="2">
          <cell r="A2" t="str">
            <v>Рост (см)</v>
          </cell>
          <cell r="B2">
            <v>51</v>
          </cell>
          <cell r="C2">
            <v>108</v>
          </cell>
          <cell r="D2">
            <v>137</v>
          </cell>
          <cell r="E2">
            <v>167</v>
          </cell>
          <cell r="F2">
            <v>180</v>
          </cell>
        </row>
        <row r="3">
          <cell r="A3" t="str">
            <v>Вес (кг)</v>
          </cell>
          <cell r="B3">
            <v>3.8</v>
          </cell>
          <cell r="C3">
            <v>18.5</v>
          </cell>
          <cell r="D3">
            <v>30</v>
          </cell>
          <cell r="E3">
            <v>55</v>
          </cell>
          <cell r="F3">
            <v>82</v>
          </cell>
        </row>
      </sheetData>
      <sheetData sheetId="1">
        <row r="4">
          <cell r="D4" t="str">
            <v>Выполнено</v>
          </cell>
          <cell r="E4">
            <v>0.97850000000000004</v>
          </cell>
        </row>
        <row r="5">
          <cell r="D5" t="str">
            <v>Осталось</v>
          </cell>
          <cell r="E5">
            <v>2.1499999999999964E-2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Фиолетовый">
      <a:dk1>
        <a:sysClr val="windowText" lastClr="000000"/>
      </a:dk1>
      <a:lt1>
        <a:sysClr val="window" lastClr="FFFFFF"/>
      </a:lt1>
      <a:dk2>
        <a:srgbClr val="373545"/>
      </a:dk2>
      <a:lt2>
        <a:srgbClr val="DCD8DC"/>
      </a:lt2>
      <a:accent1>
        <a:srgbClr val="AD84C6"/>
      </a:accent1>
      <a:accent2>
        <a:srgbClr val="8784C7"/>
      </a:accent2>
      <a:accent3>
        <a:srgbClr val="5D739A"/>
      </a:accent3>
      <a:accent4>
        <a:srgbClr val="6997AF"/>
      </a:accent4>
      <a:accent5>
        <a:srgbClr val="84ACB6"/>
      </a:accent5>
      <a:accent6>
        <a:srgbClr val="6F8183"/>
      </a:accent6>
      <a:hlink>
        <a:srgbClr val="69A020"/>
      </a:hlink>
      <a:folHlink>
        <a:srgbClr val="8C8C8C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B2538-3EA2-4241-A239-013DAB9E270D}">
  <dimension ref="A1:B10"/>
  <sheetViews>
    <sheetView workbookViewId="0">
      <selection activeCell="I19" sqref="I19"/>
    </sheetView>
  </sheetViews>
  <sheetFormatPr defaultRowHeight="15" x14ac:dyDescent="0.25"/>
  <cols>
    <col min="1" max="1" width="10.28515625" customWidth="1"/>
  </cols>
  <sheetData>
    <row r="1" spans="1:2" x14ac:dyDescent="0.25">
      <c r="A1" s="4" t="s">
        <v>0</v>
      </c>
      <c r="B1" s="4"/>
    </row>
    <row r="2" spans="1:2" x14ac:dyDescent="0.25">
      <c r="A2" s="2" t="s">
        <v>1</v>
      </c>
      <c r="B2" s="2" t="s">
        <v>4</v>
      </c>
    </row>
    <row r="3" spans="1:2" x14ac:dyDescent="0.25">
      <c r="A3" t="s">
        <v>2</v>
      </c>
      <c r="B3" s="3">
        <v>30</v>
      </c>
    </row>
    <row r="4" spans="1:2" x14ac:dyDescent="0.25">
      <c r="A4" t="s">
        <v>20</v>
      </c>
      <c r="B4" s="3">
        <v>45</v>
      </c>
    </row>
    <row r="5" spans="1:2" x14ac:dyDescent="0.25">
      <c r="A5" t="s">
        <v>3</v>
      </c>
      <c r="B5" s="3">
        <v>50</v>
      </c>
    </row>
    <row r="6" spans="1:2" x14ac:dyDescent="0.25">
      <c r="A6" t="s">
        <v>9</v>
      </c>
      <c r="B6" s="3">
        <v>55</v>
      </c>
    </row>
    <row r="7" spans="1:2" x14ac:dyDescent="0.25">
      <c r="A7" t="s">
        <v>5</v>
      </c>
      <c r="B7" s="3">
        <v>30</v>
      </c>
    </row>
    <row r="8" spans="1:2" x14ac:dyDescent="0.25">
      <c r="A8" t="s">
        <v>6</v>
      </c>
      <c r="B8" s="3">
        <v>250</v>
      </c>
    </row>
    <row r="9" spans="1:2" x14ac:dyDescent="0.25">
      <c r="A9" t="s">
        <v>7</v>
      </c>
      <c r="B9" s="3">
        <v>300</v>
      </c>
    </row>
    <row r="10" spans="1:2" x14ac:dyDescent="0.25">
      <c r="A10" s="1" t="s">
        <v>8</v>
      </c>
      <c r="B10" s="3">
        <f>SUM(B3:B9)</f>
        <v>760</v>
      </c>
    </row>
  </sheetData>
  <mergeCells count="1">
    <mergeCell ref="A1:B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FA299-4AD8-4946-9927-D547F7639D03}">
  <dimension ref="A1:H4"/>
  <sheetViews>
    <sheetView zoomScale="85" zoomScaleNormal="85" workbookViewId="0">
      <selection activeCell="F43" sqref="F43"/>
    </sheetView>
  </sheetViews>
  <sheetFormatPr defaultRowHeight="15" x14ac:dyDescent="0.25"/>
  <sheetData>
    <row r="1" spans="1:8" x14ac:dyDescent="0.25"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 x14ac:dyDescent="0.25">
      <c r="A2" t="s">
        <v>10</v>
      </c>
      <c r="B2">
        <v>20</v>
      </c>
      <c r="C2">
        <v>25</v>
      </c>
      <c r="D2">
        <v>32</v>
      </c>
      <c r="E2">
        <v>30</v>
      </c>
      <c r="F2">
        <v>23</v>
      </c>
      <c r="G2">
        <v>30</v>
      </c>
      <c r="H2">
        <v>20</v>
      </c>
    </row>
    <row r="3" spans="1:8" x14ac:dyDescent="0.25">
      <c r="A3" t="s">
        <v>11</v>
      </c>
      <c r="B3">
        <v>33</v>
      </c>
      <c r="C3">
        <v>28</v>
      </c>
      <c r="D3">
        <v>25</v>
      </c>
      <c r="E3">
        <v>25</v>
      </c>
      <c r="F3">
        <v>22</v>
      </c>
      <c r="G3">
        <v>25</v>
      </c>
      <c r="H3">
        <v>20</v>
      </c>
    </row>
    <row r="4" spans="1:8" x14ac:dyDescent="0.25">
      <c r="A4" t="s">
        <v>12</v>
      </c>
      <c r="B4">
        <v>15</v>
      </c>
      <c r="C4">
        <v>20</v>
      </c>
      <c r="D4">
        <v>22</v>
      </c>
      <c r="E4">
        <v>29</v>
      </c>
      <c r="F4">
        <v>34</v>
      </c>
      <c r="G4">
        <v>35</v>
      </c>
      <c r="H4">
        <v>30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C9E14-6D49-4B9B-A087-5D5FCC0FAA72}">
  <dimension ref="A1:B8"/>
  <sheetViews>
    <sheetView workbookViewId="0">
      <selection activeCell="A39" sqref="A39"/>
    </sheetView>
  </sheetViews>
  <sheetFormatPr defaultRowHeight="15" x14ac:dyDescent="0.25"/>
  <cols>
    <col min="1" max="1" width="24.140625" customWidth="1"/>
    <col min="2" max="2" width="30" customWidth="1"/>
  </cols>
  <sheetData>
    <row r="1" spans="1:2" x14ac:dyDescent="0.25">
      <c r="A1" s="2" t="s">
        <v>21</v>
      </c>
      <c r="B1" s="2" t="s">
        <v>22</v>
      </c>
    </row>
    <row r="2" spans="1:2" x14ac:dyDescent="0.25">
      <c r="A2" s="7" t="s">
        <v>23</v>
      </c>
      <c r="B2" s="8">
        <v>0.83</v>
      </c>
    </row>
    <row r="3" spans="1:2" x14ac:dyDescent="0.25">
      <c r="A3" s="7" t="s">
        <v>24</v>
      </c>
      <c r="B3" s="8">
        <v>0</v>
      </c>
    </row>
    <row r="4" spans="1:2" x14ac:dyDescent="0.25">
      <c r="A4" s="7" t="s">
        <v>25</v>
      </c>
      <c r="B4" s="8">
        <v>0.05</v>
      </c>
    </row>
    <row r="5" spans="1:2" x14ac:dyDescent="0.25">
      <c r="A5" s="7" t="s">
        <v>26</v>
      </c>
      <c r="B5" s="8">
        <v>0.05</v>
      </c>
    </row>
    <row r="6" spans="1:2" x14ac:dyDescent="0.25">
      <c r="A6" s="7" t="s">
        <v>27</v>
      </c>
      <c r="B6" s="8">
        <v>0</v>
      </c>
    </row>
    <row r="7" spans="1:2" x14ac:dyDescent="0.25">
      <c r="A7" s="7" t="s">
        <v>28</v>
      </c>
      <c r="B7" s="8">
        <v>0.02</v>
      </c>
    </row>
    <row r="8" spans="1:2" x14ac:dyDescent="0.25">
      <c r="A8" s="7" t="s">
        <v>29</v>
      </c>
      <c r="B8" s="8">
        <v>0.05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52BF5-5C9F-4740-845E-C80FB3C3AAAD}">
  <dimension ref="A1:D127"/>
  <sheetViews>
    <sheetView topLeftCell="A55" workbookViewId="0">
      <selection activeCell="S66" sqref="S66"/>
    </sheetView>
  </sheetViews>
  <sheetFormatPr defaultRowHeight="15" x14ac:dyDescent="0.25"/>
  <cols>
    <col min="1" max="1" width="25.42578125" customWidth="1"/>
    <col min="2" max="2" width="23.42578125" customWidth="1"/>
  </cols>
  <sheetData>
    <row r="1" spans="1:2" x14ac:dyDescent="0.25">
      <c r="A1" s="10" t="s">
        <v>1</v>
      </c>
      <c r="B1" s="10" t="s">
        <v>30</v>
      </c>
    </row>
    <row r="2" spans="1:2" x14ac:dyDescent="0.25">
      <c r="A2" s="11" t="s">
        <v>31</v>
      </c>
      <c r="B2" s="12">
        <v>0.08</v>
      </c>
    </row>
    <row r="3" spans="1:2" x14ac:dyDescent="0.25">
      <c r="A3" s="11" t="s">
        <v>20</v>
      </c>
      <c r="B3" s="12">
        <v>0.18</v>
      </c>
    </row>
    <row r="4" spans="1:2" x14ac:dyDescent="0.25">
      <c r="A4" s="11" t="s">
        <v>32</v>
      </c>
      <c r="B4" s="12">
        <v>0.2</v>
      </c>
    </row>
    <row r="5" spans="1:2" x14ac:dyDescent="0.25">
      <c r="A5" s="11" t="s">
        <v>33</v>
      </c>
      <c r="B5" s="12">
        <v>0.13</v>
      </c>
    </row>
    <row r="6" spans="1:2" x14ac:dyDescent="0.25">
      <c r="A6" s="11" t="s">
        <v>34</v>
      </c>
      <c r="B6" s="12">
        <v>0.41</v>
      </c>
    </row>
    <row r="18" spans="1:2" x14ac:dyDescent="0.25">
      <c r="A18" s="10" t="s">
        <v>35</v>
      </c>
      <c r="B18" s="10" t="s">
        <v>36</v>
      </c>
    </row>
    <row r="19" spans="1:2" x14ac:dyDescent="0.25">
      <c r="A19" s="11">
        <v>0</v>
      </c>
      <c r="B19" s="11">
        <v>12</v>
      </c>
    </row>
    <row r="20" spans="1:2" x14ac:dyDescent="0.25">
      <c r="A20" s="11">
        <v>1</v>
      </c>
      <c r="B20" s="11">
        <v>23</v>
      </c>
    </row>
    <row r="21" spans="1:2" x14ac:dyDescent="0.25">
      <c r="A21" s="11">
        <v>2</v>
      </c>
      <c r="B21" s="11">
        <v>31</v>
      </c>
    </row>
    <row r="22" spans="1:2" x14ac:dyDescent="0.25">
      <c r="A22" s="11">
        <v>3</v>
      </c>
      <c r="B22" s="11">
        <v>10</v>
      </c>
    </row>
    <row r="23" spans="1:2" x14ac:dyDescent="0.25">
      <c r="A23" s="11">
        <v>4</v>
      </c>
      <c r="B23" s="11">
        <v>5</v>
      </c>
    </row>
    <row r="24" spans="1:2" x14ac:dyDescent="0.25">
      <c r="A24" s="11">
        <v>5</v>
      </c>
      <c r="B24" s="11">
        <v>3</v>
      </c>
    </row>
    <row r="33" spans="1:4" x14ac:dyDescent="0.25">
      <c r="D33" s="9"/>
    </row>
    <row r="34" spans="1:4" x14ac:dyDescent="0.25">
      <c r="A34" s="10" t="s">
        <v>37</v>
      </c>
      <c r="B34" s="10" t="s">
        <v>38</v>
      </c>
    </row>
    <row r="35" spans="1:4" x14ac:dyDescent="0.25">
      <c r="A35" s="11" t="s">
        <v>39</v>
      </c>
      <c r="B35" s="11">
        <v>7</v>
      </c>
    </row>
    <row r="36" spans="1:4" x14ac:dyDescent="0.25">
      <c r="A36" s="11" t="s">
        <v>40</v>
      </c>
      <c r="B36" s="11">
        <v>10</v>
      </c>
    </row>
    <row r="37" spans="1:4" x14ac:dyDescent="0.25">
      <c r="A37" s="11" t="s">
        <v>41</v>
      </c>
      <c r="B37" s="11">
        <v>29</v>
      </c>
    </row>
    <row r="38" spans="1:4" x14ac:dyDescent="0.25">
      <c r="A38" s="11" t="s">
        <v>42</v>
      </c>
      <c r="B38" s="11">
        <v>36</v>
      </c>
    </row>
    <row r="39" spans="1:4" x14ac:dyDescent="0.25">
      <c r="A39" s="11" t="s">
        <v>43</v>
      </c>
      <c r="B39" s="11">
        <v>49</v>
      </c>
    </row>
    <row r="40" spans="1:4" x14ac:dyDescent="0.25">
      <c r="A40" s="11" t="s">
        <v>46</v>
      </c>
      <c r="B40" s="11">
        <v>27</v>
      </c>
    </row>
    <row r="41" spans="1:4" x14ac:dyDescent="0.25">
      <c r="A41" s="11" t="s">
        <v>44</v>
      </c>
      <c r="B41" s="11">
        <v>16</v>
      </c>
    </row>
    <row r="42" spans="1:4" x14ac:dyDescent="0.25">
      <c r="A42" s="11" t="s">
        <v>45</v>
      </c>
      <c r="B42" s="11">
        <v>9</v>
      </c>
    </row>
    <row r="51" spans="1:2" x14ac:dyDescent="0.25">
      <c r="A51" s="10" t="s">
        <v>47</v>
      </c>
      <c r="B51" s="10" t="s">
        <v>48</v>
      </c>
    </row>
    <row r="52" spans="1:2" x14ac:dyDescent="0.25">
      <c r="A52" s="11">
        <v>1</v>
      </c>
      <c r="B52" s="11">
        <v>-16</v>
      </c>
    </row>
    <row r="53" spans="1:2" x14ac:dyDescent="0.25">
      <c r="A53" s="11">
        <v>2</v>
      </c>
      <c r="B53" s="11">
        <v>-10</v>
      </c>
    </row>
    <row r="54" spans="1:2" x14ac:dyDescent="0.25">
      <c r="A54" s="11">
        <v>3</v>
      </c>
      <c r="B54" s="11">
        <v>-6</v>
      </c>
    </row>
    <row r="55" spans="1:2" x14ac:dyDescent="0.25">
      <c r="A55" s="11">
        <v>4</v>
      </c>
      <c r="B55" s="11">
        <v>4</v>
      </c>
    </row>
    <row r="56" spans="1:2" x14ac:dyDescent="0.25">
      <c r="A56" s="11">
        <v>5</v>
      </c>
      <c r="B56" s="11">
        <v>8</v>
      </c>
    </row>
    <row r="57" spans="1:2" x14ac:dyDescent="0.25">
      <c r="A57" s="11">
        <v>6</v>
      </c>
      <c r="B57" s="11">
        <v>16</v>
      </c>
    </row>
    <row r="58" spans="1:2" x14ac:dyDescent="0.25">
      <c r="A58" s="11">
        <v>7</v>
      </c>
      <c r="B58" s="11">
        <v>22</v>
      </c>
    </row>
    <row r="59" spans="1:2" x14ac:dyDescent="0.25">
      <c r="A59" s="11">
        <v>8</v>
      </c>
      <c r="B59" s="11">
        <v>19</v>
      </c>
    </row>
    <row r="60" spans="1:2" x14ac:dyDescent="0.25">
      <c r="A60" s="11">
        <v>9</v>
      </c>
      <c r="B60" s="11">
        <v>10</v>
      </c>
    </row>
    <row r="61" spans="1:2" x14ac:dyDescent="0.25">
      <c r="A61" s="11">
        <v>10</v>
      </c>
      <c r="B61" s="11">
        <v>6</v>
      </c>
    </row>
    <row r="62" spans="1:2" x14ac:dyDescent="0.25">
      <c r="A62" s="11">
        <v>11</v>
      </c>
      <c r="B62" s="11">
        <v>-3</v>
      </c>
    </row>
    <row r="63" spans="1:2" x14ac:dyDescent="0.25">
      <c r="A63" s="11">
        <v>12</v>
      </c>
      <c r="B63" s="11">
        <v>-11</v>
      </c>
    </row>
    <row r="67" spans="1:2" x14ac:dyDescent="0.25">
      <c r="A67" s="10" t="s">
        <v>49</v>
      </c>
      <c r="B67" s="10" t="s">
        <v>50</v>
      </c>
    </row>
    <row r="68" spans="1:2" x14ac:dyDescent="0.25">
      <c r="A68" s="11" t="s">
        <v>54</v>
      </c>
      <c r="B68" s="12">
        <v>0.5</v>
      </c>
    </row>
    <row r="69" spans="1:2" x14ac:dyDescent="0.25">
      <c r="A69" s="11" t="s">
        <v>51</v>
      </c>
      <c r="B69" s="12">
        <v>0.2</v>
      </c>
    </row>
    <row r="70" spans="1:2" x14ac:dyDescent="0.25">
      <c r="A70" s="11" t="s">
        <v>52</v>
      </c>
      <c r="B70" s="12">
        <v>0.2</v>
      </c>
    </row>
    <row r="71" spans="1:2" x14ac:dyDescent="0.25">
      <c r="A71" s="11" t="s">
        <v>53</v>
      </c>
      <c r="B71" s="12">
        <v>0.1</v>
      </c>
    </row>
    <row r="83" spans="1:2" x14ac:dyDescent="0.25">
      <c r="A83" s="10" t="s">
        <v>55</v>
      </c>
      <c r="B83" s="10" t="s">
        <v>56</v>
      </c>
    </row>
    <row r="84" spans="1:2" x14ac:dyDescent="0.25">
      <c r="A84" s="11">
        <v>2008</v>
      </c>
      <c r="B84" s="11">
        <v>598</v>
      </c>
    </row>
    <row r="85" spans="1:2" x14ac:dyDescent="0.25">
      <c r="A85" s="11">
        <v>2009</v>
      </c>
      <c r="B85" s="11">
        <v>606</v>
      </c>
    </row>
    <row r="86" spans="1:2" x14ac:dyDescent="0.25">
      <c r="A86" s="11">
        <v>2010</v>
      </c>
      <c r="B86" s="11">
        <v>670</v>
      </c>
    </row>
    <row r="87" spans="1:2" x14ac:dyDescent="0.25">
      <c r="A87" s="11">
        <v>2011</v>
      </c>
      <c r="B87" s="11">
        <v>630</v>
      </c>
    </row>
    <row r="88" spans="1:2" x14ac:dyDescent="0.25">
      <c r="A88" s="11">
        <v>2012</v>
      </c>
      <c r="B88" s="11">
        <v>600</v>
      </c>
    </row>
    <row r="97" spans="1:2" x14ac:dyDescent="0.25">
      <c r="A97" s="10" t="s">
        <v>57</v>
      </c>
      <c r="B97" s="10" t="s">
        <v>58</v>
      </c>
    </row>
    <row r="98" spans="1:2" x14ac:dyDescent="0.25">
      <c r="A98" s="10" t="s">
        <v>59</v>
      </c>
      <c r="B98" s="11">
        <v>0.04</v>
      </c>
    </row>
    <row r="99" spans="1:2" x14ac:dyDescent="0.25">
      <c r="A99" s="10" t="s">
        <v>60</v>
      </c>
      <c r="B99" s="11">
        <v>0.05</v>
      </c>
    </row>
    <row r="100" spans="1:2" x14ac:dyDescent="0.25">
      <c r="A100" s="10" t="s">
        <v>61</v>
      </c>
      <c r="B100" s="11">
        <v>7.0000000000000007E-2</v>
      </c>
    </row>
    <row r="101" spans="1:2" x14ac:dyDescent="0.25">
      <c r="A101" s="10" t="s">
        <v>62</v>
      </c>
      <c r="B101" s="11">
        <v>0.09</v>
      </c>
    </row>
    <row r="102" spans="1:2" x14ac:dyDescent="0.25">
      <c r="A102" s="10" t="s">
        <v>63</v>
      </c>
      <c r="B102" s="11">
        <v>0.32</v>
      </c>
    </row>
    <row r="103" spans="1:2" x14ac:dyDescent="0.25">
      <c r="A103" s="10" t="s">
        <v>64</v>
      </c>
      <c r="B103" s="11">
        <v>0.39</v>
      </c>
    </row>
    <row r="104" spans="1:2" x14ac:dyDescent="0.25">
      <c r="A104" s="10" t="s">
        <v>65</v>
      </c>
      <c r="B104" s="11">
        <v>0.04</v>
      </c>
    </row>
    <row r="119" spans="1:2" x14ac:dyDescent="0.25">
      <c r="A119" s="11" t="s">
        <v>66</v>
      </c>
      <c r="B119" s="11" t="s">
        <v>75</v>
      </c>
    </row>
    <row r="120" spans="1:2" x14ac:dyDescent="0.25">
      <c r="A120" s="11" t="s">
        <v>67</v>
      </c>
      <c r="B120" s="11">
        <v>37.121000000000002</v>
      </c>
    </row>
    <row r="121" spans="1:2" x14ac:dyDescent="0.25">
      <c r="A121" s="11" t="s">
        <v>68</v>
      </c>
      <c r="B121" s="11">
        <v>14.686</v>
      </c>
    </row>
    <row r="122" spans="1:2" x14ac:dyDescent="0.25">
      <c r="A122" s="11" t="s">
        <v>69</v>
      </c>
      <c r="B122" s="11">
        <v>13.686</v>
      </c>
    </row>
    <row r="123" spans="1:2" x14ac:dyDescent="0.25">
      <c r="A123" s="11" t="s">
        <v>70</v>
      </c>
      <c r="B123" s="11">
        <v>6.46</v>
      </c>
    </row>
    <row r="124" spans="1:2" x14ac:dyDescent="0.25">
      <c r="A124" s="11" t="s">
        <v>71</v>
      </c>
      <c r="B124" s="11">
        <v>19.545000000000002</v>
      </c>
    </row>
    <row r="125" spans="1:2" x14ac:dyDescent="0.25">
      <c r="A125" s="11" t="s">
        <v>72</v>
      </c>
      <c r="B125" s="11">
        <v>12.254</v>
      </c>
    </row>
    <row r="126" spans="1:2" x14ac:dyDescent="0.25">
      <c r="A126" s="11" t="s">
        <v>73</v>
      </c>
      <c r="B126" s="11">
        <v>30.157</v>
      </c>
    </row>
    <row r="127" spans="1:2" x14ac:dyDescent="0.25">
      <c r="A127" s="11" t="s">
        <v>74</v>
      </c>
      <c r="B127" s="11">
        <v>8.2149999999999999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6FE12-CAB3-4C5D-A0C9-6C543D156BD0}">
  <dimension ref="A1:F7"/>
  <sheetViews>
    <sheetView workbookViewId="0">
      <selection activeCell="E7" sqref="E7"/>
    </sheetView>
  </sheetViews>
  <sheetFormatPr defaultRowHeight="15" x14ac:dyDescent="0.25"/>
  <sheetData>
    <row r="1" spans="1:6" x14ac:dyDescent="0.25">
      <c r="A1" s="13" t="s">
        <v>81</v>
      </c>
      <c r="B1" s="14" t="s">
        <v>76</v>
      </c>
      <c r="C1" s="14" t="s">
        <v>77</v>
      </c>
      <c r="D1" s="14" t="s">
        <v>78</v>
      </c>
      <c r="E1" s="14" t="s">
        <v>79</v>
      </c>
      <c r="F1" s="14" t="s">
        <v>80</v>
      </c>
    </row>
    <row r="2" spans="1:6" x14ac:dyDescent="0.25">
      <c r="A2" s="13" t="s">
        <v>82</v>
      </c>
      <c r="B2" s="14">
        <v>51</v>
      </c>
      <c r="C2" s="14">
        <v>108</v>
      </c>
      <c r="D2" s="14">
        <v>137</v>
      </c>
      <c r="E2" s="14">
        <v>167</v>
      </c>
      <c r="F2" s="14">
        <v>180</v>
      </c>
    </row>
    <row r="3" spans="1:6" x14ac:dyDescent="0.25">
      <c r="A3" s="13" t="s">
        <v>83</v>
      </c>
      <c r="B3" s="15">
        <v>3.8</v>
      </c>
      <c r="C3" s="15">
        <v>18.5</v>
      </c>
      <c r="D3" s="15">
        <v>30</v>
      </c>
      <c r="E3" s="15">
        <v>55</v>
      </c>
      <c r="F3" s="15">
        <v>82</v>
      </c>
    </row>
    <row r="4" spans="1:6" x14ac:dyDescent="0.25">
      <c r="A4" s="2"/>
      <c r="B4" s="5"/>
      <c r="C4" s="16"/>
    </row>
    <row r="5" spans="1:6" x14ac:dyDescent="0.25">
      <c r="A5" s="5"/>
      <c r="B5" s="5"/>
      <c r="C5" s="16"/>
    </row>
    <row r="6" spans="1:6" x14ac:dyDescent="0.25">
      <c r="A6" s="5"/>
      <c r="B6" s="5"/>
      <c r="C6" s="16"/>
    </row>
    <row r="7" spans="1:6" x14ac:dyDescent="0.25">
      <c r="C7" s="17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C846C2-67F3-4221-936E-E8503AEDDDB0}">
  <dimension ref="A1:E10"/>
  <sheetViews>
    <sheetView workbookViewId="0">
      <selection activeCell="D14" sqref="D14"/>
    </sheetView>
  </sheetViews>
  <sheetFormatPr defaultRowHeight="15" x14ac:dyDescent="0.25"/>
  <cols>
    <col min="5" max="5" width="10.140625" bestFit="1" customWidth="1"/>
  </cols>
  <sheetData>
    <row r="1" spans="1:5" x14ac:dyDescent="0.25">
      <c r="A1" t="s">
        <v>84</v>
      </c>
      <c r="B1" s="18">
        <v>125</v>
      </c>
      <c r="D1" s="1" t="s">
        <v>85</v>
      </c>
      <c r="E1" s="19">
        <v>2000</v>
      </c>
    </row>
    <row r="2" spans="1:5" x14ac:dyDescent="0.25">
      <c r="A2" t="s">
        <v>86</v>
      </c>
      <c r="B2" s="18">
        <v>230</v>
      </c>
      <c r="D2" s="1" t="s">
        <v>87</v>
      </c>
      <c r="E2" s="20">
        <f>SUM(B1:B10)</f>
        <v>1957</v>
      </c>
    </row>
    <row r="3" spans="1:5" x14ac:dyDescent="0.25">
      <c r="A3" t="s">
        <v>88</v>
      </c>
      <c r="B3" s="18">
        <v>305</v>
      </c>
      <c r="D3" s="1"/>
    </row>
    <row r="4" spans="1:5" x14ac:dyDescent="0.25">
      <c r="A4" t="s">
        <v>89</v>
      </c>
      <c r="B4" s="18">
        <v>203</v>
      </c>
      <c r="D4" s="1" t="s">
        <v>90</v>
      </c>
      <c r="E4" s="6">
        <f>E2/E1</f>
        <v>0.97850000000000004</v>
      </c>
    </row>
    <row r="5" spans="1:5" x14ac:dyDescent="0.25">
      <c r="A5" t="s">
        <v>91</v>
      </c>
      <c r="B5" s="18">
        <v>234</v>
      </c>
      <c r="D5" s="1" t="s">
        <v>92</v>
      </c>
      <c r="E5" s="6">
        <f>1-E4</f>
        <v>2.1499999999999964E-2</v>
      </c>
    </row>
    <row r="6" spans="1:5" x14ac:dyDescent="0.25">
      <c r="A6" t="s">
        <v>93</v>
      </c>
      <c r="B6" s="18">
        <v>145</v>
      </c>
    </row>
    <row r="7" spans="1:5" x14ac:dyDescent="0.25">
      <c r="A7" t="s">
        <v>94</v>
      </c>
      <c r="B7" s="18">
        <v>90</v>
      </c>
    </row>
    <row r="8" spans="1:5" x14ac:dyDescent="0.25">
      <c r="A8" t="s">
        <v>95</v>
      </c>
      <c r="B8" s="18">
        <v>123</v>
      </c>
    </row>
    <row r="9" spans="1:5" x14ac:dyDescent="0.25">
      <c r="A9" t="s">
        <v>96</v>
      </c>
      <c r="B9" s="18">
        <v>432</v>
      </c>
    </row>
    <row r="10" spans="1:5" x14ac:dyDescent="0.25">
      <c r="A10" t="s">
        <v>97</v>
      </c>
      <c r="B10" s="18">
        <v>70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15A7F-0C48-4DDE-BE5F-59CFEFC66D20}">
  <dimension ref="A1:E4"/>
  <sheetViews>
    <sheetView tabSelected="1" workbookViewId="0">
      <selection activeCell="D8" sqref="D8"/>
    </sheetView>
  </sheetViews>
  <sheetFormatPr defaultRowHeight="15" x14ac:dyDescent="0.25"/>
  <cols>
    <col min="1" max="1" width="18.42578125" customWidth="1"/>
    <col min="2" max="2" width="11" customWidth="1"/>
    <col min="3" max="3" width="10.85546875" customWidth="1"/>
    <col min="4" max="4" width="11.42578125" customWidth="1"/>
    <col min="5" max="5" width="10.85546875" customWidth="1"/>
  </cols>
  <sheetData>
    <row r="1" spans="1:5" x14ac:dyDescent="0.25">
      <c r="A1" s="9" t="s">
        <v>98</v>
      </c>
      <c r="B1" s="11" t="s">
        <v>102</v>
      </c>
      <c r="C1" s="11" t="s">
        <v>103</v>
      </c>
      <c r="D1" s="11" t="s">
        <v>104</v>
      </c>
      <c r="E1" s="11" t="s">
        <v>105</v>
      </c>
    </row>
    <row r="2" spans="1:5" x14ac:dyDescent="0.25">
      <c r="A2" s="9" t="s">
        <v>99</v>
      </c>
      <c r="B2" s="11">
        <v>75</v>
      </c>
      <c r="C2" s="11">
        <v>85</v>
      </c>
      <c r="D2" s="11">
        <v>90</v>
      </c>
      <c r="E2" s="11">
        <v>82</v>
      </c>
    </row>
    <row r="3" spans="1:5" x14ac:dyDescent="0.25">
      <c r="A3" s="9" t="s">
        <v>100</v>
      </c>
      <c r="B3" s="11">
        <v>84</v>
      </c>
      <c r="C3" s="11">
        <v>80</v>
      </c>
      <c r="D3" s="11">
        <v>96</v>
      </c>
      <c r="E3" s="11">
        <v>90</v>
      </c>
    </row>
    <row r="4" spans="1:5" x14ac:dyDescent="0.25">
      <c r="A4" s="9" t="s">
        <v>101</v>
      </c>
      <c r="B4" s="11">
        <v>-10</v>
      </c>
      <c r="C4" s="11">
        <v>95</v>
      </c>
      <c r="D4" s="11">
        <v>20</v>
      </c>
      <c r="E4" s="11">
        <v>0</v>
      </c>
    </row>
  </sheetData>
  <phoneticPr fontId="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Задание1</vt:lpstr>
      <vt:lpstr>Задание2</vt:lpstr>
      <vt:lpstr>Задание3</vt:lpstr>
      <vt:lpstr>Задание4</vt:lpstr>
      <vt:lpstr>Задание5</vt:lpstr>
      <vt:lpstr>Задание6</vt:lpstr>
      <vt:lpstr>Задание7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Dima Tv</dc:creator>
  <cp:lastModifiedBy>ффффф ииииии</cp:lastModifiedBy>
  <dcterms:created xsi:type="dcterms:W3CDTF">2025-02-05T07:06:23Z</dcterms:created>
  <dcterms:modified xsi:type="dcterms:W3CDTF">2025-02-10T20:39:26Z</dcterms:modified>
</cp:coreProperties>
</file>